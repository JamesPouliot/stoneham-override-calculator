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pouliot\Documents\Stoneham-Override-Calculator\"/>
    </mc:Choice>
  </mc:AlternateContent>
  <xr:revisionPtr revIDLastSave="0" documentId="13_ncr:1_{2A3A6E39-1F98-4B28-8088-7A176DFC8A3F}" xr6:coauthVersionLast="36" xr6:coauthVersionMax="47" xr10:uidLastSave="{00000000-0000-0000-0000-000000000000}"/>
  <bookViews>
    <workbookView xWindow="19092" yWindow="-108" windowWidth="19416" windowHeight="10296" xr2:uid="{00000000-000D-0000-FFFF-FFFF00000000}"/>
  </bookViews>
  <sheets>
    <sheet name="Sheet" sheetId="1" r:id="rId1"/>
  </sheets>
  <definedNames>
    <definedName name="_xlnm._FilterDatabase" localSheetId="0" hidden="1">Sheet!$A$1:$AF$401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28" i="1" l="1"/>
  <c r="AJ3" i="1"/>
  <c r="AK3" i="1" s="1"/>
  <c r="AJ4" i="1"/>
  <c r="AK4" i="1" s="1"/>
  <c r="AJ5" i="1"/>
  <c r="AK5" i="1" s="1"/>
  <c r="AJ6" i="1"/>
  <c r="AK6" i="1" s="1"/>
  <c r="AJ7" i="1"/>
  <c r="AK7" i="1" s="1"/>
  <c r="AJ8" i="1"/>
  <c r="AK8" i="1" s="1"/>
  <c r="AJ9" i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K16" i="1" s="1"/>
  <c r="AJ17" i="1"/>
  <c r="AK17" i="1" s="1"/>
  <c r="AJ18" i="1"/>
  <c r="AK18" i="1" s="1"/>
  <c r="AJ19" i="1"/>
  <c r="AK19" i="1" s="1"/>
  <c r="AJ20" i="1"/>
  <c r="AK20" i="1" s="1"/>
  <c r="AJ21" i="1"/>
  <c r="AK21" i="1" s="1"/>
  <c r="AJ22" i="1"/>
  <c r="AK22" i="1" s="1"/>
  <c r="AJ23" i="1"/>
  <c r="AK23" i="1" s="1"/>
  <c r="AJ24" i="1"/>
  <c r="AK24" i="1" s="1"/>
  <c r="AJ25" i="1"/>
  <c r="AK25" i="1" s="1"/>
  <c r="AJ26" i="1"/>
  <c r="AK26" i="1" s="1"/>
  <c r="AJ27" i="1"/>
  <c r="AK27" i="1" s="1"/>
  <c r="AJ28" i="1"/>
  <c r="AK28" i="1" s="1"/>
  <c r="AJ29" i="1"/>
  <c r="AK29" i="1" s="1"/>
  <c r="AJ30" i="1"/>
  <c r="AK30" i="1" s="1"/>
  <c r="AJ31" i="1"/>
  <c r="AK31" i="1" s="1"/>
  <c r="AJ32" i="1"/>
  <c r="AK32" i="1" s="1"/>
  <c r="AJ33" i="1"/>
  <c r="AK33" i="1" s="1"/>
  <c r="AJ34" i="1"/>
  <c r="AK34" i="1" s="1"/>
  <c r="AJ35" i="1"/>
  <c r="AK35" i="1" s="1"/>
  <c r="AJ36" i="1"/>
  <c r="AK36" i="1" s="1"/>
  <c r="AJ37" i="1"/>
  <c r="AK37" i="1" s="1"/>
  <c r="AJ38" i="1"/>
  <c r="AK38" i="1" s="1"/>
  <c r="AJ39" i="1"/>
  <c r="AK39" i="1" s="1"/>
  <c r="AJ40" i="1"/>
  <c r="AK40" i="1" s="1"/>
  <c r="AJ41" i="1"/>
  <c r="AK41" i="1" s="1"/>
  <c r="AJ42" i="1"/>
  <c r="AK42" i="1" s="1"/>
  <c r="AJ43" i="1"/>
  <c r="AK43" i="1" s="1"/>
  <c r="AJ44" i="1"/>
  <c r="AK44" i="1" s="1"/>
  <c r="AJ45" i="1"/>
  <c r="AK45" i="1" s="1"/>
  <c r="AJ46" i="1"/>
  <c r="AK46" i="1" s="1"/>
  <c r="AJ47" i="1"/>
  <c r="AK47" i="1" s="1"/>
  <c r="AJ48" i="1"/>
  <c r="AK48" i="1" s="1"/>
  <c r="AJ49" i="1"/>
  <c r="AK49" i="1" s="1"/>
  <c r="AJ50" i="1"/>
  <c r="AK50" i="1" s="1"/>
  <c r="AJ51" i="1"/>
  <c r="AK51" i="1" s="1"/>
  <c r="AJ52" i="1"/>
  <c r="AK52" i="1" s="1"/>
  <c r="AJ53" i="1"/>
  <c r="AK53" i="1" s="1"/>
  <c r="AJ54" i="1"/>
  <c r="AK54" i="1" s="1"/>
  <c r="AJ55" i="1"/>
  <c r="AK55" i="1" s="1"/>
  <c r="AJ56" i="1"/>
  <c r="AK56" i="1" s="1"/>
  <c r="AJ57" i="1"/>
  <c r="AK57" i="1" s="1"/>
  <c r="AJ58" i="1"/>
  <c r="AK58" i="1" s="1"/>
  <c r="AJ59" i="1"/>
  <c r="AK59" i="1" s="1"/>
  <c r="AJ60" i="1"/>
  <c r="AK60" i="1" s="1"/>
  <c r="AJ61" i="1"/>
  <c r="AK61" i="1" s="1"/>
  <c r="AJ62" i="1"/>
  <c r="AK62" i="1" s="1"/>
  <c r="AJ63" i="1"/>
  <c r="AK63" i="1" s="1"/>
  <c r="AJ64" i="1"/>
  <c r="AK64" i="1" s="1"/>
  <c r="AJ65" i="1"/>
  <c r="AK65" i="1" s="1"/>
  <c r="AJ66" i="1"/>
  <c r="AK66" i="1" s="1"/>
  <c r="AJ67" i="1"/>
  <c r="AK67" i="1" s="1"/>
  <c r="AJ68" i="1"/>
  <c r="AK68" i="1" s="1"/>
  <c r="AJ69" i="1"/>
  <c r="AK69" i="1" s="1"/>
  <c r="AJ70" i="1"/>
  <c r="AK70" i="1" s="1"/>
  <c r="AJ71" i="1"/>
  <c r="AK71" i="1" s="1"/>
  <c r="AJ72" i="1"/>
  <c r="AK72" i="1" s="1"/>
  <c r="AJ73" i="1"/>
  <c r="AK73" i="1" s="1"/>
  <c r="AJ74" i="1"/>
  <c r="AK74" i="1" s="1"/>
  <c r="AJ75" i="1"/>
  <c r="AK75" i="1" s="1"/>
  <c r="AJ76" i="1"/>
  <c r="AK76" i="1" s="1"/>
  <c r="AJ77" i="1"/>
  <c r="AK77" i="1" s="1"/>
  <c r="AJ78" i="1"/>
  <c r="AK78" i="1" s="1"/>
  <c r="AJ79" i="1"/>
  <c r="AK79" i="1" s="1"/>
  <c r="AJ80" i="1"/>
  <c r="AK80" i="1" s="1"/>
  <c r="AJ81" i="1"/>
  <c r="AK81" i="1" s="1"/>
  <c r="AJ82" i="1"/>
  <c r="AK82" i="1" s="1"/>
  <c r="AJ83" i="1"/>
  <c r="AK83" i="1" s="1"/>
  <c r="AJ84" i="1"/>
  <c r="AK84" i="1" s="1"/>
  <c r="AJ85" i="1"/>
  <c r="AK85" i="1" s="1"/>
  <c r="AJ86" i="1"/>
  <c r="AK86" i="1" s="1"/>
  <c r="AJ87" i="1"/>
  <c r="AK87" i="1" s="1"/>
  <c r="AJ88" i="1"/>
  <c r="AK88" i="1" s="1"/>
  <c r="AJ89" i="1"/>
  <c r="AK89" i="1" s="1"/>
  <c r="AJ90" i="1"/>
  <c r="AK90" i="1" s="1"/>
  <c r="AJ91" i="1"/>
  <c r="AK91" i="1" s="1"/>
  <c r="AJ92" i="1"/>
  <c r="AK92" i="1" s="1"/>
  <c r="AJ93" i="1"/>
  <c r="AK93" i="1" s="1"/>
  <c r="AJ94" i="1"/>
  <c r="AK94" i="1" s="1"/>
  <c r="AJ95" i="1"/>
  <c r="AK95" i="1" s="1"/>
  <c r="AJ96" i="1"/>
  <c r="AK96" i="1" s="1"/>
  <c r="AJ97" i="1"/>
  <c r="AK97" i="1" s="1"/>
  <c r="AJ98" i="1"/>
  <c r="AK98" i="1" s="1"/>
  <c r="AJ99" i="1"/>
  <c r="AK99" i="1" s="1"/>
  <c r="AJ100" i="1"/>
  <c r="AK100" i="1" s="1"/>
  <c r="AJ101" i="1"/>
  <c r="AK101" i="1" s="1"/>
  <c r="AJ102" i="1"/>
  <c r="AK102" i="1" s="1"/>
  <c r="AJ103" i="1"/>
  <c r="AK103" i="1" s="1"/>
  <c r="AJ104" i="1"/>
  <c r="AK104" i="1" s="1"/>
  <c r="AJ105" i="1"/>
  <c r="AK105" i="1" s="1"/>
  <c r="AJ106" i="1"/>
  <c r="AK106" i="1" s="1"/>
  <c r="AJ107" i="1"/>
  <c r="AK107" i="1" s="1"/>
  <c r="AJ108" i="1"/>
  <c r="AK108" i="1" s="1"/>
  <c r="AJ109" i="1"/>
  <c r="AK109" i="1" s="1"/>
  <c r="AJ110" i="1"/>
  <c r="AK110" i="1" s="1"/>
  <c r="AJ111" i="1"/>
  <c r="AK111" i="1" s="1"/>
  <c r="AJ112" i="1"/>
  <c r="AK112" i="1" s="1"/>
  <c r="AJ113" i="1"/>
  <c r="AK113" i="1" s="1"/>
  <c r="AJ114" i="1"/>
  <c r="AK114" i="1" s="1"/>
  <c r="AJ115" i="1"/>
  <c r="AK115" i="1" s="1"/>
  <c r="AJ116" i="1"/>
  <c r="AK116" i="1" s="1"/>
  <c r="AJ117" i="1"/>
  <c r="AK117" i="1" s="1"/>
  <c r="AJ118" i="1"/>
  <c r="AK118" i="1" s="1"/>
  <c r="AJ119" i="1"/>
  <c r="AK119" i="1" s="1"/>
  <c r="AJ120" i="1"/>
  <c r="AK120" i="1" s="1"/>
  <c r="AJ121" i="1"/>
  <c r="AK121" i="1" s="1"/>
  <c r="AJ122" i="1"/>
  <c r="AK122" i="1" s="1"/>
  <c r="AJ123" i="1"/>
  <c r="AK123" i="1" s="1"/>
  <c r="AJ124" i="1"/>
  <c r="AK124" i="1" s="1"/>
  <c r="AJ125" i="1"/>
  <c r="AK125" i="1" s="1"/>
  <c r="AJ126" i="1"/>
  <c r="AK126" i="1" s="1"/>
  <c r="AJ127" i="1"/>
  <c r="AK127" i="1" s="1"/>
  <c r="AJ128" i="1"/>
  <c r="AJ129" i="1"/>
  <c r="AK129" i="1" s="1"/>
  <c r="AJ130" i="1"/>
  <c r="AK130" i="1" s="1"/>
  <c r="AJ131" i="1"/>
  <c r="AK131" i="1" s="1"/>
  <c r="AJ132" i="1"/>
  <c r="AK132" i="1" s="1"/>
  <c r="AJ133" i="1"/>
  <c r="AK133" i="1" s="1"/>
  <c r="AJ134" i="1"/>
  <c r="AK134" i="1" s="1"/>
  <c r="AJ135" i="1"/>
  <c r="AK135" i="1" s="1"/>
  <c r="AJ136" i="1"/>
  <c r="AK136" i="1" s="1"/>
  <c r="AJ137" i="1"/>
  <c r="AK137" i="1" s="1"/>
  <c r="AJ138" i="1"/>
  <c r="AK138" i="1" s="1"/>
  <c r="AJ139" i="1"/>
  <c r="AK139" i="1" s="1"/>
  <c r="AJ140" i="1"/>
  <c r="AK140" i="1" s="1"/>
  <c r="AJ141" i="1"/>
  <c r="AK141" i="1" s="1"/>
  <c r="AJ142" i="1"/>
  <c r="AK142" i="1" s="1"/>
  <c r="AJ143" i="1"/>
  <c r="AK143" i="1" s="1"/>
  <c r="AJ144" i="1"/>
  <c r="AK144" i="1" s="1"/>
  <c r="AJ145" i="1"/>
  <c r="AK145" i="1" s="1"/>
  <c r="AJ146" i="1"/>
  <c r="AK146" i="1" s="1"/>
  <c r="AJ147" i="1"/>
  <c r="AK147" i="1" s="1"/>
  <c r="AJ148" i="1"/>
  <c r="AK148" i="1" s="1"/>
  <c r="AJ149" i="1"/>
  <c r="AK149" i="1" s="1"/>
  <c r="AJ150" i="1"/>
  <c r="AK150" i="1" s="1"/>
  <c r="AJ151" i="1"/>
  <c r="AK151" i="1" s="1"/>
  <c r="AJ152" i="1"/>
  <c r="AK152" i="1" s="1"/>
  <c r="AJ153" i="1"/>
  <c r="AK153" i="1" s="1"/>
  <c r="AJ154" i="1"/>
  <c r="AK154" i="1" s="1"/>
  <c r="AJ155" i="1"/>
  <c r="AK155" i="1" s="1"/>
  <c r="AJ156" i="1"/>
  <c r="AK156" i="1" s="1"/>
  <c r="AJ157" i="1"/>
  <c r="AK157" i="1" s="1"/>
  <c r="AJ158" i="1"/>
  <c r="AK158" i="1" s="1"/>
  <c r="AJ159" i="1"/>
  <c r="AK159" i="1" s="1"/>
  <c r="AJ160" i="1"/>
  <c r="AK160" i="1" s="1"/>
  <c r="AJ161" i="1"/>
  <c r="AK161" i="1" s="1"/>
  <c r="AJ162" i="1"/>
  <c r="AK162" i="1" s="1"/>
  <c r="AJ163" i="1"/>
  <c r="AK163" i="1" s="1"/>
  <c r="AJ164" i="1"/>
  <c r="AK164" i="1" s="1"/>
  <c r="AJ165" i="1"/>
  <c r="AK165" i="1" s="1"/>
  <c r="AJ166" i="1"/>
  <c r="AK166" i="1" s="1"/>
  <c r="AJ167" i="1"/>
  <c r="AK167" i="1" s="1"/>
  <c r="AJ168" i="1"/>
  <c r="AK168" i="1" s="1"/>
  <c r="AJ169" i="1"/>
  <c r="AK169" i="1" s="1"/>
  <c r="AJ170" i="1"/>
  <c r="AK170" i="1" s="1"/>
  <c r="AJ171" i="1"/>
  <c r="AK171" i="1" s="1"/>
  <c r="AJ172" i="1"/>
  <c r="AK172" i="1" s="1"/>
  <c r="AJ173" i="1"/>
  <c r="AK173" i="1" s="1"/>
  <c r="AJ174" i="1"/>
  <c r="AK174" i="1" s="1"/>
  <c r="AJ175" i="1"/>
  <c r="AK175" i="1" s="1"/>
  <c r="AJ176" i="1"/>
  <c r="AK176" i="1" s="1"/>
  <c r="AJ177" i="1"/>
  <c r="AK177" i="1" s="1"/>
  <c r="AJ178" i="1"/>
  <c r="AK178" i="1" s="1"/>
  <c r="AJ179" i="1"/>
  <c r="AK179" i="1" s="1"/>
  <c r="AJ180" i="1"/>
  <c r="AK180" i="1" s="1"/>
  <c r="AJ181" i="1"/>
  <c r="AK181" i="1" s="1"/>
  <c r="AJ182" i="1"/>
  <c r="AK182" i="1" s="1"/>
  <c r="AJ183" i="1"/>
  <c r="AK183" i="1" s="1"/>
  <c r="AJ184" i="1"/>
  <c r="AK184" i="1" s="1"/>
  <c r="AJ185" i="1"/>
  <c r="AK185" i="1" s="1"/>
  <c r="AJ186" i="1"/>
  <c r="AK186" i="1" s="1"/>
  <c r="AJ187" i="1"/>
  <c r="AK187" i="1" s="1"/>
  <c r="AJ188" i="1"/>
  <c r="AK188" i="1" s="1"/>
  <c r="AJ189" i="1"/>
  <c r="AK189" i="1" s="1"/>
  <c r="AJ190" i="1"/>
  <c r="AK190" i="1" s="1"/>
  <c r="AJ191" i="1"/>
  <c r="AK191" i="1" s="1"/>
  <c r="AJ192" i="1"/>
  <c r="AK192" i="1" s="1"/>
  <c r="AJ193" i="1"/>
  <c r="AK193" i="1" s="1"/>
  <c r="AJ194" i="1"/>
  <c r="AK194" i="1" s="1"/>
  <c r="AJ195" i="1"/>
  <c r="AK195" i="1" s="1"/>
  <c r="AJ196" i="1"/>
  <c r="AK196" i="1" s="1"/>
  <c r="AJ197" i="1"/>
  <c r="AK197" i="1" s="1"/>
  <c r="AJ198" i="1"/>
  <c r="AK198" i="1" s="1"/>
  <c r="AJ199" i="1"/>
  <c r="AK199" i="1" s="1"/>
  <c r="AJ200" i="1"/>
  <c r="AK200" i="1" s="1"/>
  <c r="AJ201" i="1"/>
  <c r="AK201" i="1" s="1"/>
  <c r="AJ202" i="1"/>
  <c r="AK202" i="1" s="1"/>
  <c r="AJ203" i="1"/>
  <c r="AK203" i="1" s="1"/>
  <c r="AJ204" i="1"/>
  <c r="AK204" i="1" s="1"/>
  <c r="AJ205" i="1"/>
  <c r="AK205" i="1" s="1"/>
  <c r="AJ206" i="1"/>
  <c r="AK206" i="1" s="1"/>
  <c r="AJ207" i="1"/>
  <c r="AK207" i="1" s="1"/>
  <c r="AJ208" i="1"/>
  <c r="AK208" i="1" s="1"/>
  <c r="AJ209" i="1"/>
  <c r="AK209" i="1" s="1"/>
  <c r="AJ210" i="1"/>
  <c r="AK210" i="1" s="1"/>
  <c r="AJ211" i="1"/>
  <c r="AK211" i="1" s="1"/>
  <c r="AJ212" i="1"/>
  <c r="AK212" i="1" s="1"/>
  <c r="AJ213" i="1"/>
  <c r="AK213" i="1" s="1"/>
  <c r="AJ214" i="1"/>
  <c r="AK214" i="1" s="1"/>
  <c r="AJ215" i="1"/>
  <c r="AK215" i="1" s="1"/>
  <c r="AJ216" i="1"/>
  <c r="AK216" i="1" s="1"/>
  <c r="AJ217" i="1"/>
  <c r="AK217" i="1" s="1"/>
  <c r="AJ218" i="1"/>
  <c r="AK218" i="1" s="1"/>
  <c r="AJ219" i="1"/>
  <c r="AK219" i="1" s="1"/>
  <c r="AJ220" i="1"/>
  <c r="AK220" i="1" s="1"/>
  <c r="AJ221" i="1"/>
  <c r="AK221" i="1" s="1"/>
  <c r="AJ222" i="1"/>
  <c r="AK222" i="1" s="1"/>
  <c r="AJ223" i="1"/>
  <c r="AK223" i="1" s="1"/>
  <c r="AJ224" i="1"/>
  <c r="AK224" i="1" s="1"/>
  <c r="AJ225" i="1"/>
  <c r="AK225" i="1" s="1"/>
  <c r="AJ226" i="1"/>
  <c r="AK226" i="1" s="1"/>
  <c r="AJ227" i="1"/>
  <c r="AK227" i="1" s="1"/>
  <c r="AJ228" i="1"/>
  <c r="AK228" i="1" s="1"/>
  <c r="AJ229" i="1"/>
  <c r="AK229" i="1" s="1"/>
  <c r="AJ230" i="1"/>
  <c r="AK230" i="1" s="1"/>
  <c r="AJ231" i="1"/>
  <c r="AK231" i="1" s="1"/>
  <c r="AJ232" i="1"/>
  <c r="AK232" i="1" s="1"/>
  <c r="AJ233" i="1"/>
  <c r="AK233" i="1" s="1"/>
  <c r="AJ234" i="1"/>
  <c r="AK234" i="1" s="1"/>
  <c r="AJ235" i="1"/>
  <c r="AK235" i="1" s="1"/>
  <c r="AJ236" i="1"/>
  <c r="AK236" i="1" s="1"/>
  <c r="AJ237" i="1"/>
  <c r="AK237" i="1" s="1"/>
  <c r="AJ238" i="1"/>
  <c r="AK238" i="1" s="1"/>
  <c r="AJ239" i="1"/>
  <c r="AK239" i="1" s="1"/>
  <c r="AJ240" i="1"/>
  <c r="AK240" i="1" s="1"/>
  <c r="AJ241" i="1"/>
  <c r="AK241" i="1" s="1"/>
  <c r="AJ242" i="1"/>
  <c r="AK242" i="1" s="1"/>
  <c r="AJ243" i="1"/>
  <c r="AK243" i="1" s="1"/>
  <c r="AJ244" i="1"/>
  <c r="AK244" i="1" s="1"/>
  <c r="AJ245" i="1"/>
  <c r="AK245" i="1" s="1"/>
  <c r="AJ246" i="1"/>
  <c r="AK246" i="1" s="1"/>
  <c r="AJ247" i="1"/>
  <c r="AK247" i="1" s="1"/>
  <c r="AJ248" i="1"/>
  <c r="AK248" i="1" s="1"/>
  <c r="AJ249" i="1"/>
  <c r="AK249" i="1" s="1"/>
  <c r="AJ250" i="1"/>
  <c r="AK250" i="1" s="1"/>
  <c r="AJ251" i="1"/>
  <c r="AK251" i="1" s="1"/>
  <c r="AJ252" i="1"/>
  <c r="AK252" i="1" s="1"/>
  <c r="AJ253" i="1"/>
  <c r="AK253" i="1" s="1"/>
  <c r="AJ254" i="1"/>
  <c r="AK254" i="1" s="1"/>
  <c r="AJ255" i="1"/>
  <c r="AK255" i="1" s="1"/>
  <c r="AJ256" i="1"/>
  <c r="AK256" i="1" s="1"/>
  <c r="AJ257" i="1"/>
  <c r="AK257" i="1" s="1"/>
  <c r="AJ258" i="1"/>
  <c r="AK258" i="1" s="1"/>
  <c r="AJ259" i="1"/>
  <c r="AK259" i="1" s="1"/>
  <c r="AJ260" i="1"/>
  <c r="AK260" i="1" s="1"/>
  <c r="AJ261" i="1"/>
  <c r="AK261" i="1" s="1"/>
  <c r="AJ262" i="1"/>
  <c r="AK262" i="1" s="1"/>
  <c r="AJ263" i="1"/>
  <c r="AK263" i="1" s="1"/>
  <c r="AJ264" i="1"/>
  <c r="AK264" i="1" s="1"/>
  <c r="AJ265" i="1"/>
  <c r="AK265" i="1" s="1"/>
  <c r="AJ266" i="1"/>
  <c r="AK266" i="1" s="1"/>
  <c r="AJ267" i="1"/>
  <c r="AK267" i="1" s="1"/>
  <c r="AJ268" i="1"/>
  <c r="AK268" i="1" s="1"/>
  <c r="AJ269" i="1"/>
  <c r="AK269" i="1" s="1"/>
  <c r="AJ270" i="1"/>
  <c r="AK270" i="1" s="1"/>
  <c r="AJ271" i="1"/>
  <c r="AK271" i="1" s="1"/>
  <c r="AJ272" i="1"/>
  <c r="AK272" i="1" s="1"/>
  <c r="AJ273" i="1"/>
  <c r="AK273" i="1" s="1"/>
  <c r="AJ274" i="1"/>
  <c r="AK274" i="1" s="1"/>
  <c r="AJ275" i="1"/>
  <c r="AK275" i="1" s="1"/>
  <c r="AJ276" i="1"/>
  <c r="AK276" i="1" s="1"/>
  <c r="AJ277" i="1"/>
  <c r="AK277" i="1" s="1"/>
  <c r="AJ278" i="1"/>
  <c r="AK278" i="1" s="1"/>
  <c r="AJ279" i="1"/>
  <c r="AK279" i="1" s="1"/>
  <c r="AJ280" i="1"/>
  <c r="AK280" i="1" s="1"/>
  <c r="AJ281" i="1"/>
  <c r="AK281" i="1" s="1"/>
  <c r="AJ282" i="1"/>
  <c r="AK282" i="1" s="1"/>
  <c r="AJ283" i="1"/>
  <c r="AK283" i="1" s="1"/>
  <c r="AJ284" i="1"/>
  <c r="AK284" i="1" s="1"/>
  <c r="AJ285" i="1"/>
  <c r="AK285" i="1" s="1"/>
  <c r="AJ286" i="1"/>
  <c r="AK286" i="1" s="1"/>
  <c r="AJ287" i="1"/>
  <c r="AK287" i="1" s="1"/>
  <c r="AJ288" i="1"/>
  <c r="AK288" i="1" s="1"/>
  <c r="AJ289" i="1"/>
  <c r="AK289" i="1" s="1"/>
  <c r="AJ290" i="1"/>
  <c r="AK290" i="1" s="1"/>
  <c r="AJ291" i="1"/>
  <c r="AK291" i="1" s="1"/>
  <c r="AJ292" i="1"/>
  <c r="AK292" i="1" s="1"/>
  <c r="AJ293" i="1"/>
  <c r="AK293" i="1" s="1"/>
  <c r="AJ294" i="1"/>
  <c r="AK294" i="1" s="1"/>
  <c r="AJ295" i="1"/>
  <c r="AK295" i="1" s="1"/>
  <c r="AJ296" i="1"/>
  <c r="AK296" i="1" s="1"/>
  <c r="AJ297" i="1"/>
  <c r="AK297" i="1" s="1"/>
  <c r="AJ298" i="1"/>
  <c r="AK298" i="1" s="1"/>
  <c r="AJ299" i="1"/>
  <c r="AK299" i="1" s="1"/>
  <c r="AJ300" i="1"/>
  <c r="AK300" i="1" s="1"/>
  <c r="AJ301" i="1"/>
  <c r="AK301" i="1" s="1"/>
  <c r="AJ302" i="1"/>
  <c r="AK302" i="1" s="1"/>
  <c r="AJ303" i="1"/>
  <c r="AK303" i="1" s="1"/>
  <c r="AJ304" i="1"/>
  <c r="AK304" i="1" s="1"/>
  <c r="AJ305" i="1"/>
  <c r="AK305" i="1" s="1"/>
  <c r="AJ306" i="1"/>
  <c r="AK306" i="1" s="1"/>
  <c r="AJ307" i="1"/>
  <c r="AK307" i="1" s="1"/>
  <c r="AJ308" i="1"/>
  <c r="AK308" i="1" s="1"/>
  <c r="AJ309" i="1"/>
  <c r="AK309" i="1" s="1"/>
  <c r="AJ310" i="1"/>
  <c r="AK310" i="1" s="1"/>
  <c r="AJ311" i="1"/>
  <c r="AK311" i="1" s="1"/>
  <c r="AJ312" i="1"/>
  <c r="AK312" i="1" s="1"/>
  <c r="AJ313" i="1"/>
  <c r="AK313" i="1" s="1"/>
  <c r="AJ314" i="1"/>
  <c r="AK314" i="1" s="1"/>
  <c r="AJ315" i="1"/>
  <c r="AK315" i="1" s="1"/>
  <c r="AJ316" i="1"/>
  <c r="AK316" i="1" s="1"/>
  <c r="AJ317" i="1"/>
  <c r="AK317" i="1" s="1"/>
  <c r="AJ318" i="1"/>
  <c r="AK318" i="1" s="1"/>
  <c r="AJ319" i="1"/>
  <c r="AK319" i="1" s="1"/>
  <c r="AJ320" i="1"/>
  <c r="AK320" i="1" s="1"/>
  <c r="AJ321" i="1"/>
  <c r="AK321" i="1" s="1"/>
  <c r="AJ322" i="1"/>
  <c r="AK322" i="1" s="1"/>
  <c r="AJ323" i="1"/>
  <c r="AK323" i="1" s="1"/>
  <c r="AJ324" i="1"/>
  <c r="AK324" i="1" s="1"/>
  <c r="AJ325" i="1"/>
  <c r="AK325" i="1" s="1"/>
  <c r="AJ326" i="1"/>
  <c r="AK326" i="1" s="1"/>
  <c r="AJ327" i="1"/>
  <c r="AK327" i="1" s="1"/>
  <c r="AJ328" i="1"/>
  <c r="AK328" i="1" s="1"/>
  <c r="AJ329" i="1"/>
  <c r="AK329" i="1" s="1"/>
  <c r="AJ330" i="1"/>
  <c r="AK330" i="1" s="1"/>
  <c r="AJ331" i="1"/>
  <c r="AK331" i="1" s="1"/>
  <c r="AJ332" i="1"/>
  <c r="AK332" i="1" s="1"/>
  <c r="AJ333" i="1"/>
  <c r="AK333" i="1" s="1"/>
  <c r="AJ334" i="1"/>
  <c r="AK334" i="1" s="1"/>
  <c r="AJ335" i="1"/>
  <c r="AK335" i="1" s="1"/>
  <c r="AJ336" i="1"/>
  <c r="AK336" i="1" s="1"/>
  <c r="AJ337" i="1"/>
  <c r="AK337" i="1" s="1"/>
  <c r="AJ338" i="1"/>
  <c r="AK338" i="1" s="1"/>
  <c r="AJ339" i="1"/>
  <c r="AK339" i="1" s="1"/>
  <c r="AJ340" i="1"/>
  <c r="AK340" i="1" s="1"/>
  <c r="AJ341" i="1"/>
  <c r="AK341" i="1" s="1"/>
  <c r="AJ342" i="1"/>
  <c r="AK342" i="1" s="1"/>
  <c r="AJ343" i="1"/>
  <c r="AK343" i="1" s="1"/>
  <c r="AJ344" i="1"/>
  <c r="AK344" i="1" s="1"/>
  <c r="AJ345" i="1"/>
  <c r="AK345" i="1" s="1"/>
  <c r="AJ346" i="1"/>
  <c r="AK346" i="1" s="1"/>
  <c r="AJ347" i="1"/>
  <c r="AK347" i="1" s="1"/>
  <c r="AJ348" i="1"/>
  <c r="AK348" i="1" s="1"/>
  <c r="AJ349" i="1"/>
  <c r="AK349" i="1" s="1"/>
  <c r="AJ350" i="1"/>
  <c r="AK350" i="1" s="1"/>
  <c r="AJ351" i="1"/>
  <c r="AK351" i="1" s="1"/>
  <c r="AJ352" i="1"/>
  <c r="AK352" i="1" s="1"/>
  <c r="AJ353" i="1"/>
  <c r="AK353" i="1" s="1"/>
  <c r="AJ354" i="1"/>
  <c r="AK354" i="1" s="1"/>
  <c r="AJ355" i="1"/>
  <c r="AK355" i="1" s="1"/>
  <c r="AJ356" i="1"/>
  <c r="AK356" i="1" s="1"/>
  <c r="AJ357" i="1"/>
  <c r="AK357" i="1" s="1"/>
  <c r="AJ358" i="1"/>
  <c r="AK358" i="1" s="1"/>
  <c r="AJ359" i="1"/>
  <c r="AK359" i="1" s="1"/>
  <c r="AJ360" i="1"/>
  <c r="AK360" i="1" s="1"/>
  <c r="AJ361" i="1"/>
  <c r="AK361" i="1" s="1"/>
  <c r="AJ362" i="1"/>
  <c r="AK362" i="1" s="1"/>
  <c r="AJ363" i="1"/>
  <c r="AK363" i="1" s="1"/>
  <c r="AJ364" i="1"/>
  <c r="AK364" i="1" s="1"/>
  <c r="AJ365" i="1"/>
  <c r="AK365" i="1" s="1"/>
  <c r="AJ366" i="1"/>
  <c r="AK366" i="1" s="1"/>
  <c r="AJ367" i="1"/>
  <c r="AK367" i="1" s="1"/>
  <c r="AJ368" i="1"/>
  <c r="AK368" i="1" s="1"/>
  <c r="AJ369" i="1"/>
  <c r="AK369" i="1" s="1"/>
  <c r="AJ370" i="1"/>
  <c r="AK370" i="1" s="1"/>
  <c r="AJ371" i="1"/>
  <c r="AK371" i="1" s="1"/>
  <c r="AJ372" i="1"/>
  <c r="AK372" i="1" s="1"/>
  <c r="AJ373" i="1"/>
  <c r="AK373" i="1" s="1"/>
  <c r="AJ374" i="1"/>
  <c r="AK374" i="1" s="1"/>
  <c r="AJ375" i="1"/>
  <c r="AK375" i="1" s="1"/>
  <c r="AJ376" i="1"/>
  <c r="AK376" i="1" s="1"/>
  <c r="AJ377" i="1"/>
  <c r="AK377" i="1" s="1"/>
  <c r="AJ378" i="1"/>
  <c r="AK378" i="1" s="1"/>
  <c r="AJ379" i="1"/>
  <c r="AK379" i="1" s="1"/>
  <c r="AJ380" i="1"/>
  <c r="AK380" i="1" s="1"/>
  <c r="AJ381" i="1"/>
  <c r="AK381" i="1" s="1"/>
  <c r="AJ382" i="1"/>
  <c r="AK382" i="1" s="1"/>
  <c r="AJ383" i="1"/>
  <c r="AK383" i="1" s="1"/>
  <c r="AJ384" i="1"/>
  <c r="AK384" i="1" s="1"/>
  <c r="AJ385" i="1"/>
  <c r="AK385" i="1" s="1"/>
  <c r="AJ386" i="1"/>
  <c r="AK386" i="1" s="1"/>
  <c r="AJ387" i="1"/>
  <c r="AK387" i="1" s="1"/>
  <c r="AJ388" i="1"/>
  <c r="AK388" i="1" s="1"/>
  <c r="AJ389" i="1"/>
  <c r="AK389" i="1" s="1"/>
  <c r="AJ390" i="1"/>
  <c r="AK390" i="1" s="1"/>
  <c r="AJ391" i="1"/>
  <c r="AK391" i="1" s="1"/>
  <c r="AJ392" i="1"/>
  <c r="AK392" i="1" s="1"/>
  <c r="AJ393" i="1"/>
  <c r="AK393" i="1" s="1"/>
  <c r="AJ394" i="1"/>
  <c r="AK394" i="1" s="1"/>
  <c r="AJ395" i="1"/>
  <c r="AK395" i="1" s="1"/>
  <c r="AJ396" i="1"/>
  <c r="AK396" i="1" s="1"/>
  <c r="AJ397" i="1"/>
  <c r="AK397" i="1" s="1"/>
  <c r="AJ398" i="1"/>
  <c r="AK398" i="1" s="1"/>
  <c r="AJ399" i="1"/>
  <c r="AK399" i="1" s="1"/>
  <c r="AJ400" i="1"/>
  <c r="AK400" i="1" s="1"/>
  <c r="AJ401" i="1"/>
  <c r="AK401" i="1" s="1"/>
  <c r="AJ2" i="1"/>
  <c r="AK2" i="1" s="1"/>
  <c r="AI4" i="1"/>
  <c r="AI9" i="1"/>
  <c r="AI20" i="1"/>
  <c r="AI41" i="1"/>
  <c r="AI44" i="1"/>
  <c r="AI52" i="1"/>
  <c r="AI65" i="1"/>
  <c r="AI92" i="1"/>
  <c r="AI105" i="1"/>
  <c r="AI113" i="1"/>
  <c r="AI169" i="1"/>
  <c r="AI171" i="1"/>
  <c r="AI187" i="1"/>
  <c r="AI219" i="1"/>
  <c r="AI233" i="1"/>
  <c r="AI235" i="1"/>
  <c r="AI251" i="1"/>
  <c r="AI297" i="1"/>
  <c r="AI299" i="1"/>
  <c r="AI315" i="1"/>
  <c r="AI361" i="1"/>
  <c r="AI363" i="1"/>
  <c r="AI387" i="1"/>
  <c r="AH3" i="1"/>
  <c r="AI3" i="1" s="1"/>
  <c r="AH4" i="1"/>
  <c r="AH5" i="1"/>
  <c r="AI5" i="1" s="1"/>
  <c r="AH6" i="1"/>
  <c r="AI6" i="1" s="1"/>
  <c r="AH7" i="1"/>
  <c r="AI7" i="1" s="1"/>
  <c r="AH8" i="1"/>
  <c r="AI8" i="1" s="1"/>
  <c r="AH9" i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8" i="1"/>
  <c r="AI38" i="1" s="1"/>
  <c r="AH39" i="1"/>
  <c r="AI39" i="1" s="1"/>
  <c r="AH40" i="1"/>
  <c r="AI40" i="1" s="1"/>
  <c r="AH41" i="1"/>
  <c r="AH42" i="1"/>
  <c r="AI42" i="1" s="1"/>
  <c r="AH43" i="1"/>
  <c r="AI43" i="1" s="1"/>
  <c r="AH44" i="1"/>
  <c r="AH45" i="1"/>
  <c r="AI45" i="1" s="1"/>
  <c r="AH46" i="1"/>
  <c r="AI46" i="1" s="1"/>
  <c r="AH47" i="1"/>
  <c r="AI47" i="1" s="1"/>
  <c r="AH48" i="1"/>
  <c r="AI48" i="1" s="1"/>
  <c r="AH49" i="1"/>
  <c r="AI49" i="1" s="1"/>
  <c r="AH50" i="1"/>
  <c r="AI50" i="1" s="1"/>
  <c r="AH51" i="1"/>
  <c r="AI51" i="1" s="1"/>
  <c r="AH52" i="1"/>
  <c r="AH53" i="1"/>
  <c r="AI53" i="1" s="1"/>
  <c r="AH54" i="1"/>
  <c r="AI54" i="1" s="1"/>
  <c r="AH55" i="1"/>
  <c r="AI55" i="1" s="1"/>
  <c r="AH56" i="1"/>
  <c r="AI56" i="1" s="1"/>
  <c r="AH57" i="1"/>
  <c r="AI57" i="1" s="1"/>
  <c r="AH58" i="1"/>
  <c r="AI58" i="1" s="1"/>
  <c r="AH59" i="1"/>
  <c r="AI59" i="1" s="1"/>
  <c r="AH60" i="1"/>
  <c r="AI60" i="1" s="1"/>
  <c r="AH61" i="1"/>
  <c r="AI61" i="1" s="1"/>
  <c r="AH62" i="1"/>
  <c r="AI62" i="1" s="1"/>
  <c r="AH63" i="1"/>
  <c r="AI63" i="1" s="1"/>
  <c r="AH64" i="1"/>
  <c r="AI64" i="1" s="1"/>
  <c r="AH65" i="1"/>
  <c r="AH66" i="1"/>
  <c r="AI66" i="1" s="1"/>
  <c r="AH67" i="1"/>
  <c r="AI67" i="1" s="1"/>
  <c r="AH68" i="1"/>
  <c r="AI68" i="1" s="1"/>
  <c r="AH69" i="1"/>
  <c r="AI69" i="1" s="1"/>
  <c r="AH70" i="1"/>
  <c r="AI70" i="1" s="1"/>
  <c r="AH71" i="1"/>
  <c r="AI71" i="1" s="1"/>
  <c r="AH72" i="1"/>
  <c r="AI72" i="1" s="1"/>
  <c r="AH73" i="1"/>
  <c r="AI73" i="1" s="1"/>
  <c r="AH74" i="1"/>
  <c r="AI74" i="1" s="1"/>
  <c r="AH75" i="1"/>
  <c r="AI75" i="1" s="1"/>
  <c r="AH76" i="1"/>
  <c r="AI76" i="1" s="1"/>
  <c r="AH77" i="1"/>
  <c r="AI77" i="1" s="1"/>
  <c r="AH78" i="1"/>
  <c r="AI78" i="1" s="1"/>
  <c r="AH79" i="1"/>
  <c r="AI79" i="1" s="1"/>
  <c r="AH80" i="1"/>
  <c r="AI80" i="1" s="1"/>
  <c r="AH81" i="1"/>
  <c r="AI81" i="1" s="1"/>
  <c r="AH82" i="1"/>
  <c r="AI82" i="1" s="1"/>
  <c r="AH83" i="1"/>
  <c r="AI83" i="1" s="1"/>
  <c r="AH84" i="1"/>
  <c r="AI84" i="1" s="1"/>
  <c r="AH85" i="1"/>
  <c r="AI85" i="1" s="1"/>
  <c r="AH86" i="1"/>
  <c r="AI86" i="1" s="1"/>
  <c r="AH87" i="1"/>
  <c r="AI87" i="1" s="1"/>
  <c r="AH88" i="1"/>
  <c r="AI88" i="1" s="1"/>
  <c r="AH89" i="1"/>
  <c r="AI89" i="1" s="1"/>
  <c r="AH90" i="1"/>
  <c r="AI90" i="1" s="1"/>
  <c r="AH91" i="1"/>
  <c r="AI91" i="1" s="1"/>
  <c r="AH92" i="1"/>
  <c r="AH93" i="1"/>
  <c r="AI93" i="1" s="1"/>
  <c r="AH94" i="1"/>
  <c r="AI94" i="1" s="1"/>
  <c r="AH95" i="1"/>
  <c r="AI95" i="1" s="1"/>
  <c r="AH96" i="1"/>
  <c r="AI96" i="1" s="1"/>
  <c r="AH97" i="1"/>
  <c r="AI97" i="1" s="1"/>
  <c r="AH98" i="1"/>
  <c r="AI98" i="1" s="1"/>
  <c r="AH99" i="1"/>
  <c r="AI99" i="1" s="1"/>
  <c r="AH100" i="1"/>
  <c r="AI100" i="1" s="1"/>
  <c r="AH101" i="1"/>
  <c r="AI101" i="1" s="1"/>
  <c r="AH102" i="1"/>
  <c r="AI102" i="1" s="1"/>
  <c r="AH103" i="1"/>
  <c r="AI103" i="1" s="1"/>
  <c r="AH104" i="1"/>
  <c r="AI104" i="1" s="1"/>
  <c r="AH105" i="1"/>
  <c r="AH106" i="1"/>
  <c r="AI106" i="1" s="1"/>
  <c r="AH107" i="1"/>
  <c r="AI107" i="1" s="1"/>
  <c r="AH108" i="1"/>
  <c r="AI108" i="1" s="1"/>
  <c r="AH109" i="1"/>
  <c r="AI109" i="1" s="1"/>
  <c r="AH110" i="1"/>
  <c r="AI110" i="1" s="1"/>
  <c r="AH111" i="1"/>
  <c r="AI111" i="1" s="1"/>
  <c r="AH112" i="1"/>
  <c r="AI112" i="1" s="1"/>
  <c r="AH113" i="1"/>
  <c r="AH114" i="1"/>
  <c r="AI114" i="1" s="1"/>
  <c r="AH115" i="1"/>
  <c r="AI115" i="1" s="1"/>
  <c r="AH116" i="1"/>
  <c r="AI116" i="1" s="1"/>
  <c r="AH117" i="1"/>
  <c r="AI117" i="1" s="1"/>
  <c r="AH118" i="1"/>
  <c r="AI118" i="1" s="1"/>
  <c r="AH119" i="1"/>
  <c r="AI119" i="1" s="1"/>
  <c r="AH120" i="1"/>
  <c r="AI120" i="1" s="1"/>
  <c r="AH121" i="1"/>
  <c r="AI121" i="1" s="1"/>
  <c r="AH122" i="1"/>
  <c r="AI122" i="1" s="1"/>
  <c r="AH123" i="1"/>
  <c r="AI123" i="1" s="1"/>
  <c r="AH124" i="1"/>
  <c r="AI124" i="1" s="1"/>
  <c r="AH125" i="1"/>
  <c r="AI125" i="1" s="1"/>
  <c r="AH126" i="1"/>
  <c r="AI126" i="1" s="1"/>
  <c r="AH127" i="1"/>
  <c r="AI127" i="1" s="1"/>
  <c r="AH128" i="1"/>
  <c r="AI128" i="1" s="1"/>
  <c r="AH129" i="1"/>
  <c r="AI129" i="1" s="1"/>
  <c r="AH130" i="1"/>
  <c r="AI130" i="1" s="1"/>
  <c r="AH131" i="1"/>
  <c r="AI131" i="1" s="1"/>
  <c r="AH132" i="1"/>
  <c r="AI132" i="1" s="1"/>
  <c r="AH133" i="1"/>
  <c r="AI133" i="1" s="1"/>
  <c r="AH134" i="1"/>
  <c r="AI134" i="1" s="1"/>
  <c r="AH135" i="1"/>
  <c r="AI135" i="1" s="1"/>
  <c r="AH136" i="1"/>
  <c r="AI136" i="1" s="1"/>
  <c r="AH137" i="1"/>
  <c r="AI137" i="1" s="1"/>
  <c r="AH138" i="1"/>
  <c r="AI138" i="1" s="1"/>
  <c r="AH139" i="1"/>
  <c r="AI139" i="1" s="1"/>
  <c r="AH140" i="1"/>
  <c r="AI140" i="1" s="1"/>
  <c r="AH141" i="1"/>
  <c r="AI141" i="1" s="1"/>
  <c r="AH142" i="1"/>
  <c r="AI142" i="1" s="1"/>
  <c r="AH143" i="1"/>
  <c r="AI143" i="1" s="1"/>
  <c r="AH144" i="1"/>
  <c r="AI144" i="1" s="1"/>
  <c r="AH145" i="1"/>
  <c r="AI145" i="1" s="1"/>
  <c r="AH146" i="1"/>
  <c r="AI146" i="1" s="1"/>
  <c r="AH147" i="1"/>
  <c r="AI147" i="1" s="1"/>
  <c r="AH148" i="1"/>
  <c r="AI148" i="1" s="1"/>
  <c r="AH149" i="1"/>
  <c r="AI149" i="1" s="1"/>
  <c r="AH150" i="1"/>
  <c r="AI150" i="1" s="1"/>
  <c r="AH151" i="1"/>
  <c r="AI151" i="1" s="1"/>
  <c r="AH152" i="1"/>
  <c r="AI152" i="1" s="1"/>
  <c r="AH153" i="1"/>
  <c r="AI153" i="1" s="1"/>
  <c r="AH154" i="1"/>
  <c r="AI154" i="1" s="1"/>
  <c r="AH155" i="1"/>
  <c r="AI155" i="1" s="1"/>
  <c r="AH156" i="1"/>
  <c r="AI156" i="1" s="1"/>
  <c r="AH157" i="1"/>
  <c r="AI157" i="1" s="1"/>
  <c r="AH158" i="1"/>
  <c r="AI158" i="1" s="1"/>
  <c r="AH159" i="1"/>
  <c r="AI159" i="1" s="1"/>
  <c r="AH160" i="1"/>
  <c r="AI160" i="1" s="1"/>
  <c r="AH161" i="1"/>
  <c r="AI161" i="1" s="1"/>
  <c r="AH162" i="1"/>
  <c r="AI162" i="1" s="1"/>
  <c r="AH163" i="1"/>
  <c r="AI163" i="1" s="1"/>
  <c r="AH164" i="1"/>
  <c r="AI164" i="1" s="1"/>
  <c r="AH165" i="1"/>
  <c r="AI165" i="1" s="1"/>
  <c r="AH166" i="1"/>
  <c r="AI166" i="1" s="1"/>
  <c r="AH167" i="1"/>
  <c r="AI167" i="1" s="1"/>
  <c r="AH168" i="1"/>
  <c r="AI168" i="1" s="1"/>
  <c r="AH169" i="1"/>
  <c r="AH170" i="1"/>
  <c r="AI170" i="1" s="1"/>
  <c r="AH171" i="1"/>
  <c r="AH172" i="1"/>
  <c r="AI172" i="1" s="1"/>
  <c r="AH173" i="1"/>
  <c r="AI173" i="1" s="1"/>
  <c r="AH174" i="1"/>
  <c r="AI174" i="1" s="1"/>
  <c r="AH175" i="1"/>
  <c r="AI175" i="1" s="1"/>
  <c r="AH176" i="1"/>
  <c r="AI176" i="1" s="1"/>
  <c r="AH177" i="1"/>
  <c r="AI177" i="1" s="1"/>
  <c r="AH178" i="1"/>
  <c r="AI178" i="1" s="1"/>
  <c r="AH179" i="1"/>
  <c r="AI179" i="1" s="1"/>
  <c r="AH180" i="1"/>
  <c r="AI180" i="1" s="1"/>
  <c r="AH181" i="1"/>
  <c r="AI181" i="1" s="1"/>
  <c r="AH182" i="1"/>
  <c r="AI182" i="1" s="1"/>
  <c r="AH183" i="1"/>
  <c r="AI183" i="1" s="1"/>
  <c r="AH184" i="1"/>
  <c r="AI184" i="1" s="1"/>
  <c r="AH185" i="1"/>
  <c r="AI185" i="1" s="1"/>
  <c r="AH186" i="1"/>
  <c r="AI186" i="1" s="1"/>
  <c r="AH187" i="1"/>
  <c r="AH188" i="1"/>
  <c r="AI188" i="1" s="1"/>
  <c r="AH189" i="1"/>
  <c r="AI189" i="1" s="1"/>
  <c r="AH190" i="1"/>
  <c r="AI190" i="1" s="1"/>
  <c r="AH191" i="1"/>
  <c r="AI191" i="1" s="1"/>
  <c r="AH192" i="1"/>
  <c r="AI192" i="1" s="1"/>
  <c r="AH193" i="1"/>
  <c r="AI193" i="1" s="1"/>
  <c r="AH194" i="1"/>
  <c r="AI194" i="1" s="1"/>
  <c r="AH195" i="1"/>
  <c r="AI195" i="1" s="1"/>
  <c r="AH196" i="1"/>
  <c r="AI196" i="1" s="1"/>
  <c r="AH197" i="1"/>
  <c r="AI197" i="1" s="1"/>
  <c r="AH198" i="1"/>
  <c r="AI198" i="1" s="1"/>
  <c r="AH199" i="1"/>
  <c r="AI199" i="1" s="1"/>
  <c r="AH200" i="1"/>
  <c r="AI200" i="1" s="1"/>
  <c r="AH201" i="1"/>
  <c r="AI201" i="1" s="1"/>
  <c r="AH202" i="1"/>
  <c r="AI202" i="1" s="1"/>
  <c r="AH203" i="1"/>
  <c r="AI203" i="1" s="1"/>
  <c r="AH204" i="1"/>
  <c r="AI204" i="1" s="1"/>
  <c r="AH205" i="1"/>
  <c r="AI205" i="1" s="1"/>
  <c r="AH206" i="1"/>
  <c r="AI206" i="1" s="1"/>
  <c r="AH207" i="1"/>
  <c r="AI207" i="1" s="1"/>
  <c r="AH208" i="1"/>
  <c r="AI208" i="1" s="1"/>
  <c r="AH209" i="1"/>
  <c r="AI209" i="1" s="1"/>
  <c r="AH210" i="1"/>
  <c r="AI210" i="1" s="1"/>
  <c r="AH211" i="1"/>
  <c r="AI211" i="1" s="1"/>
  <c r="AH212" i="1"/>
  <c r="AI212" i="1" s="1"/>
  <c r="AH213" i="1"/>
  <c r="AI213" i="1" s="1"/>
  <c r="AH214" i="1"/>
  <c r="AI214" i="1" s="1"/>
  <c r="AH215" i="1"/>
  <c r="AI215" i="1" s="1"/>
  <c r="AH216" i="1"/>
  <c r="AI216" i="1" s="1"/>
  <c r="AH217" i="1"/>
  <c r="AI217" i="1" s="1"/>
  <c r="AH218" i="1"/>
  <c r="AI218" i="1" s="1"/>
  <c r="AH219" i="1"/>
  <c r="AH220" i="1"/>
  <c r="AI220" i="1" s="1"/>
  <c r="AH221" i="1"/>
  <c r="AI221" i="1" s="1"/>
  <c r="AH222" i="1"/>
  <c r="AI222" i="1" s="1"/>
  <c r="AH223" i="1"/>
  <c r="AI223" i="1" s="1"/>
  <c r="AH224" i="1"/>
  <c r="AI224" i="1" s="1"/>
  <c r="AH225" i="1"/>
  <c r="AI225" i="1" s="1"/>
  <c r="AH226" i="1"/>
  <c r="AI226" i="1" s="1"/>
  <c r="AH227" i="1"/>
  <c r="AI227" i="1" s="1"/>
  <c r="AH228" i="1"/>
  <c r="AI228" i="1" s="1"/>
  <c r="AH229" i="1"/>
  <c r="AI229" i="1" s="1"/>
  <c r="AH230" i="1"/>
  <c r="AI230" i="1" s="1"/>
  <c r="AH231" i="1"/>
  <c r="AI231" i="1" s="1"/>
  <c r="AH232" i="1"/>
  <c r="AI232" i="1" s="1"/>
  <c r="AH233" i="1"/>
  <c r="AH234" i="1"/>
  <c r="AI234" i="1" s="1"/>
  <c r="AH235" i="1"/>
  <c r="AH236" i="1"/>
  <c r="AI236" i="1" s="1"/>
  <c r="AH237" i="1"/>
  <c r="AI237" i="1" s="1"/>
  <c r="AH238" i="1"/>
  <c r="AI238" i="1" s="1"/>
  <c r="AH239" i="1"/>
  <c r="AI239" i="1" s="1"/>
  <c r="AH240" i="1"/>
  <c r="AI240" i="1" s="1"/>
  <c r="AH241" i="1"/>
  <c r="AI241" i="1" s="1"/>
  <c r="AH242" i="1"/>
  <c r="AI242" i="1" s="1"/>
  <c r="AH243" i="1"/>
  <c r="AI243" i="1" s="1"/>
  <c r="AH244" i="1"/>
  <c r="AI244" i="1" s="1"/>
  <c r="AH245" i="1"/>
  <c r="AI245" i="1" s="1"/>
  <c r="AH246" i="1"/>
  <c r="AI246" i="1" s="1"/>
  <c r="AH247" i="1"/>
  <c r="AI247" i="1" s="1"/>
  <c r="AH248" i="1"/>
  <c r="AI248" i="1" s="1"/>
  <c r="AH249" i="1"/>
  <c r="AI249" i="1" s="1"/>
  <c r="AH250" i="1"/>
  <c r="AI250" i="1" s="1"/>
  <c r="AH251" i="1"/>
  <c r="AH252" i="1"/>
  <c r="AI252" i="1" s="1"/>
  <c r="AH253" i="1"/>
  <c r="AI253" i="1" s="1"/>
  <c r="AH254" i="1"/>
  <c r="AI254" i="1" s="1"/>
  <c r="AH255" i="1"/>
  <c r="AI255" i="1" s="1"/>
  <c r="AH256" i="1"/>
  <c r="AI256" i="1" s="1"/>
  <c r="AH257" i="1"/>
  <c r="AI257" i="1" s="1"/>
  <c r="AH258" i="1"/>
  <c r="AI258" i="1" s="1"/>
  <c r="AH259" i="1"/>
  <c r="AI259" i="1" s="1"/>
  <c r="AH260" i="1"/>
  <c r="AI260" i="1" s="1"/>
  <c r="AH261" i="1"/>
  <c r="AI261" i="1" s="1"/>
  <c r="AH262" i="1"/>
  <c r="AI262" i="1" s="1"/>
  <c r="AH263" i="1"/>
  <c r="AI263" i="1" s="1"/>
  <c r="AH264" i="1"/>
  <c r="AI264" i="1" s="1"/>
  <c r="AH265" i="1"/>
  <c r="AI265" i="1" s="1"/>
  <c r="AH266" i="1"/>
  <c r="AI266" i="1" s="1"/>
  <c r="AH267" i="1"/>
  <c r="AI267" i="1" s="1"/>
  <c r="AH268" i="1"/>
  <c r="AI268" i="1" s="1"/>
  <c r="AH269" i="1"/>
  <c r="AI269" i="1" s="1"/>
  <c r="AH270" i="1"/>
  <c r="AI270" i="1" s="1"/>
  <c r="AH271" i="1"/>
  <c r="AI271" i="1" s="1"/>
  <c r="AH272" i="1"/>
  <c r="AI272" i="1" s="1"/>
  <c r="AH273" i="1"/>
  <c r="AI273" i="1" s="1"/>
  <c r="AH274" i="1"/>
  <c r="AI274" i="1" s="1"/>
  <c r="AH275" i="1"/>
  <c r="AI275" i="1" s="1"/>
  <c r="AH276" i="1"/>
  <c r="AI276" i="1" s="1"/>
  <c r="AH277" i="1"/>
  <c r="AI277" i="1" s="1"/>
  <c r="AH278" i="1"/>
  <c r="AI278" i="1" s="1"/>
  <c r="AH279" i="1"/>
  <c r="AI279" i="1" s="1"/>
  <c r="AH280" i="1"/>
  <c r="AI280" i="1" s="1"/>
  <c r="AH281" i="1"/>
  <c r="AI281" i="1" s="1"/>
  <c r="AH282" i="1"/>
  <c r="AI282" i="1" s="1"/>
  <c r="AH283" i="1"/>
  <c r="AI283" i="1" s="1"/>
  <c r="AH284" i="1"/>
  <c r="AI284" i="1" s="1"/>
  <c r="AH285" i="1"/>
  <c r="AI285" i="1" s="1"/>
  <c r="AH286" i="1"/>
  <c r="AI286" i="1" s="1"/>
  <c r="AH287" i="1"/>
  <c r="AI287" i="1" s="1"/>
  <c r="AH288" i="1"/>
  <c r="AI288" i="1" s="1"/>
  <c r="AH289" i="1"/>
  <c r="AI289" i="1" s="1"/>
  <c r="AH290" i="1"/>
  <c r="AI290" i="1" s="1"/>
  <c r="AH291" i="1"/>
  <c r="AI291" i="1" s="1"/>
  <c r="AH292" i="1"/>
  <c r="AI292" i="1" s="1"/>
  <c r="AH293" i="1"/>
  <c r="AI293" i="1" s="1"/>
  <c r="AH294" i="1"/>
  <c r="AI294" i="1" s="1"/>
  <c r="AH295" i="1"/>
  <c r="AI295" i="1" s="1"/>
  <c r="AH296" i="1"/>
  <c r="AI296" i="1" s="1"/>
  <c r="AH297" i="1"/>
  <c r="AH298" i="1"/>
  <c r="AI298" i="1" s="1"/>
  <c r="AH299" i="1"/>
  <c r="AH300" i="1"/>
  <c r="AI300" i="1" s="1"/>
  <c r="AH301" i="1"/>
  <c r="AI301" i="1" s="1"/>
  <c r="AH302" i="1"/>
  <c r="AI302" i="1" s="1"/>
  <c r="AH303" i="1"/>
  <c r="AI303" i="1" s="1"/>
  <c r="AH304" i="1"/>
  <c r="AI304" i="1" s="1"/>
  <c r="AH305" i="1"/>
  <c r="AI305" i="1" s="1"/>
  <c r="AH306" i="1"/>
  <c r="AI306" i="1" s="1"/>
  <c r="AH307" i="1"/>
  <c r="AI307" i="1" s="1"/>
  <c r="AH308" i="1"/>
  <c r="AI308" i="1" s="1"/>
  <c r="AH309" i="1"/>
  <c r="AI309" i="1" s="1"/>
  <c r="AH310" i="1"/>
  <c r="AI310" i="1" s="1"/>
  <c r="AH311" i="1"/>
  <c r="AI311" i="1" s="1"/>
  <c r="AH312" i="1"/>
  <c r="AI312" i="1" s="1"/>
  <c r="AH313" i="1"/>
  <c r="AI313" i="1" s="1"/>
  <c r="AH314" i="1"/>
  <c r="AI314" i="1" s="1"/>
  <c r="AH315" i="1"/>
  <c r="AH316" i="1"/>
  <c r="AI316" i="1" s="1"/>
  <c r="AH317" i="1"/>
  <c r="AI317" i="1" s="1"/>
  <c r="AH318" i="1"/>
  <c r="AI318" i="1" s="1"/>
  <c r="AH319" i="1"/>
  <c r="AI319" i="1" s="1"/>
  <c r="AH320" i="1"/>
  <c r="AI320" i="1" s="1"/>
  <c r="AH321" i="1"/>
  <c r="AI321" i="1" s="1"/>
  <c r="AH322" i="1"/>
  <c r="AI322" i="1" s="1"/>
  <c r="AH323" i="1"/>
  <c r="AI323" i="1" s="1"/>
  <c r="AH324" i="1"/>
  <c r="AI324" i="1" s="1"/>
  <c r="AH325" i="1"/>
  <c r="AI325" i="1" s="1"/>
  <c r="AH326" i="1"/>
  <c r="AI326" i="1" s="1"/>
  <c r="AH327" i="1"/>
  <c r="AI327" i="1" s="1"/>
  <c r="AH328" i="1"/>
  <c r="AI328" i="1" s="1"/>
  <c r="AH329" i="1"/>
  <c r="AI329" i="1" s="1"/>
  <c r="AH330" i="1"/>
  <c r="AI330" i="1" s="1"/>
  <c r="AH331" i="1"/>
  <c r="AI331" i="1" s="1"/>
  <c r="AH332" i="1"/>
  <c r="AI332" i="1" s="1"/>
  <c r="AH333" i="1"/>
  <c r="AI333" i="1" s="1"/>
  <c r="AH334" i="1"/>
  <c r="AI334" i="1" s="1"/>
  <c r="AH335" i="1"/>
  <c r="AI335" i="1" s="1"/>
  <c r="AH336" i="1"/>
  <c r="AI336" i="1" s="1"/>
  <c r="AH337" i="1"/>
  <c r="AI337" i="1" s="1"/>
  <c r="AH338" i="1"/>
  <c r="AI338" i="1" s="1"/>
  <c r="AH339" i="1"/>
  <c r="AI339" i="1" s="1"/>
  <c r="AH340" i="1"/>
  <c r="AI340" i="1" s="1"/>
  <c r="AH341" i="1"/>
  <c r="AI341" i="1" s="1"/>
  <c r="AH342" i="1"/>
  <c r="AI342" i="1" s="1"/>
  <c r="AH343" i="1"/>
  <c r="AI343" i="1" s="1"/>
  <c r="AH344" i="1"/>
  <c r="AI344" i="1" s="1"/>
  <c r="AH345" i="1"/>
  <c r="AI345" i="1" s="1"/>
  <c r="AH346" i="1"/>
  <c r="AI346" i="1" s="1"/>
  <c r="AH347" i="1"/>
  <c r="AI347" i="1" s="1"/>
  <c r="AH348" i="1"/>
  <c r="AI348" i="1" s="1"/>
  <c r="AH349" i="1"/>
  <c r="AI349" i="1" s="1"/>
  <c r="AH350" i="1"/>
  <c r="AI350" i="1" s="1"/>
  <c r="AH351" i="1"/>
  <c r="AI351" i="1" s="1"/>
  <c r="AH352" i="1"/>
  <c r="AI352" i="1" s="1"/>
  <c r="AH353" i="1"/>
  <c r="AI353" i="1" s="1"/>
  <c r="AH354" i="1"/>
  <c r="AI354" i="1" s="1"/>
  <c r="AH355" i="1"/>
  <c r="AI355" i="1" s="1"/>
  <c r="AH356" i="1"/>
  <c r="AI356" i="1" s="1"/>
  <c r="AH357" i="1"/>
  <c r="AI357" i="1" s="1"/>
  <c r="AH358" i="1"/>
  <c r="AI358" i="1" s="1"/>
  <c r="AH359" i="1"/>
  <c r="AI359" i="1" s="1"/>
  <c r="AH360" i="1"/>
  <c r="AI360" i="1" s="1"/>
  <c r="AH361" i="1"/>
  <c r="AH362" i="1"/>
  <c r="AI362" i="1" s="1"/>
  <c r="AH363" i="1"/>
  <c r="AH364" i="1"/>
  <c r="AI364" i="1" s="1"/>
  <c r="AH365" i="1"/>
  <c r="AI365" i="1" s="1"/>
  <c r="AH366" i="1"/>
  <c r="AI366" i="1" s="1"/>
  <c r="AH367" i="1"/>
  <c r="AI367" i="1" s="1"/>
  <c r="AH368" i="1"/>
  <c r="AI368" i="1" s="1"/>
  <c r="AH369" i="1"/>
  <c r="AI369" i="1" s="1"/>
  <c r="AH370" i="1"/>
  <c r="AI370" i="1" s="1"/>
  <c r="AH371" i="1"/>
  <c r="AI371" i="1" s="1"/>
  <c r="AH372" i="1"/>
  <c r="AI372" i="1" s="1"/>
  <c r="AH373" i="1"/>
  <c r="AI373" i="1" s="1"/>
  <c r="AH374" i="1"/>
  <c r="AI374" i="1" s="1"/>
  <c r="AH375" i="1"/>
  <c r="AI375" i="1" s="1"/>
  <c r="AH376" i="1"/>
  <c r="AI376" i="1" s="1"/>
  <c r="AH377" i="1"/>
  <c r="AI377" i="1" s="1"/>
  <c r="AH378" i="1"/>
  <c r="AI378" i="1" s="1"/>
  <c r="AH379" i="1"/>
  <c r="AI379" i="1" s="1"/>
  <c r="AH380" i="1"/>
  <c r="AI380" i="1" s="1"/>
  <c r="AH381" i="1"/>
  <c r="AI381" i="1" s="1"/>
  <c r="AH382" i="1"/>
  <c r="AI382" i="1" s="1"/>
  <c r="AH383" i="1"/>
  <c r="AI383" i="1" s="1"/>
  <c r="AH384" i="1"/>
  <c r="AI384" i="1" s="1"/>
  <c r="AH385" i="1"/>
  <c r="AI385" i="1" s="1"/>
  <c r="AH386" i="1"/>
  <c r="AI386" i="1" s="1"/>
  <c r="AH387" i="1"/>
  <c r="AH388" i="1"/>
  <c r="AI388" i="1" s="1"/>
  <c r="AH389" i="1"/>
  <c r="AI389" i="1" s="1"/>
  <c r="AH390" i="1"/>
  <c r="AI390" i="1" s="1"/>
  <c r="AH391" i="1"/>
  <c r="AI391" i="1" s="1"/>
  <c r="AH392" i="1"/>
  <c r="AI392" i="1" s="1"/>
  <c r="AH393" i="1"/>
  <c r="AI393" i="1" s="1"/>
  <c r="AH394" i="1"/>
  <c r="AI394" i="1" s="1"/>
  <c r="AH395" i="1"/>
  <c r="AI395" i="1" s="1"/>
  <c r="AH396" i="1"/>
  <c r="AI396" i="1" s="1"/>
  <c r="AH397" i="1"/>
  <c r="AI397" i="1" s="1"/>
  <c r="AH398" i="1"/>
  <c r="AI398" i="1" s="1"/>
  <c r="AH399" i="1"/>
  <c r="AI399" i="1" s="1"/>
  <c r="AH400" i="1"/>
  <c r="AI400" i="1" s="1"/>
  <c r="AH401" i="1"/>
  <c r="AI401" i="1" s="1"/>
  <c r="AH2" i="1"/>
  <c r="AI2" i="1" s="1"/>
</calcChain>
</file>

<file path=xl/sharedStrings.xml><?xml version="1.0" encoding="utf-8"?>
<sst xmlns="http://schemas.openxmlformats.org/spreadsheetml/2006/main" count="8524" uniqueCount="2851">
  <si>
    <t>Property ID</t>
  </si>
  <si>
    <t>Parcel ID</t>
  </si>
  <si>
    <t>Composite Land Use Code</t>
  </si>
  <si>
    <t>Neighborhood</t>
  </si>
  <si>
    <t>Num_units</t>
  </si>
  <si>
    <t>User Account</t>
  </si>
  <si>
    <t>Street Number</t>
  </si>
  <si>
    <t>Alternate Street Number</t>
  </si>
  <si>
    <t>Street Name</t>
  </si>
  <si>
    <t>Condo Unit</t>
  </si>
  <si>
    <t>Owner1Last Name</t>
  </si>
  <si>
    <t>Owner1First Name</t>
  </si>
  <si>
    <t>Owner2Last Name</t>
  </si>
  <si>
    <t>Owner2First Name</t>
  </si>
  <si>
    <t>Billing Address</t>
  </si>
  <si>
    <t>City</t>
  </si>
  <si>
    <t>State</t>
  </si>
  <si>
    <t>Country</t>
  </si>
  <si>
    <t>Zip Code</t>
  </si>
  <si>
    <t>Total Area</t>
  </si>
  <si>
    <t>Legal Reference</t>
  </si>
  <si>
    <t>Sale Date</t>
  </si>
  <si>
    <t>Sale Price</t>
  </si>
  <si>
    <t>Owner Occupied</t>
  </si>
  <si>
    <t>Condo Percent Owner</t>
  </si>
  <si>
    <t>FY2026VALUE</t>
  </si>
  <si>
    <t>001-01-00</t>
  </si>
  <si>
    <t>031</t>
  </si>
  <si>
    <t>STM</t>
  </si>
  <si>
    <t>1034</t>
  </si>
  <si>
    <t>1002</t>
  </si>
  <si>
    <t/>
  </si>
  <si>
    <t>BEACON ST</t>
  </si>
  <si>
    <t>XIAO INVESTMENT COMPANY V LLC</t>
  </si>
  <si>
    <t>400 108TH AVE NE</t>
  </si>
  <si>
    <t>BELLEVUE</t>
  </si>
  <si>
    <t>WA</t>
  </si>
  <si>
    <t>98004</t>
  </si>
  <si>
    <t>34714-170</t>
  </si>
  <si>
    <t>N</t>
  </si>
  <si>
    <t>L10</t>
  </si>
  <si>
    <t>001-02-08</t>
  </si>
  <si>
    <t>326</t>
  </si>
  <si>
    <t>2030</t>
  </si>
  <si>
    <t>1004</t>
  </si>
  <si>
    <t>LINEAGE RE BROOKLINE LLC</t>
  </si>
  <si>
    <t>675 VFW PKWY # 218</t>
  </si>
  <si>
    <t>CHESTNUT HILL</t>
  </si>
  <si>
    <t>MA</t>
  </si>
  <si>
    <t>02467</t>
  </si>
  <si>
    <t>40324-491</t>
  </si>
  <si>
    <t>001-09-00</t>
  </si>
  <si>
    <t>340</t>
  </si>
  <si>
    <t>3026</t>
  </si>
  <si>
    <t>1018</t>
  </si>
  <si>
    <t>GLANZ, ET AL TRS</t>
  </si>
  <si>
    <t>RICHARD E</t>
  </si>
  <si>
    <t>C/O GLANZ PROPERTIES INC</t>
  </si>
  <si>
    <t>1018 BEACON ST</t>
  </si>
  <si>
    <t>BROOKLINE</t>
  </si>
  <si>
    <t>02446</t>
  </si>
  <si>
    <t>8986-170</t>
  </si>
  <si>
    <t>001-10-00</t>
  </si>
  <si>
    <t>325</t>
  </si>
  <si>
    <t>4022</t>
  </si>
  <si>
    <t>1020</t>
  </si>
  <si>
    <t>A</t>
  </si>
  <si>
    <t>GALVIN, TR</t>
  </si>
  <si>
    <t>SEAN D</t>
  </si>
  <si>
    <t>C/O 1020-1024 BEACON ST REALTY</t>
  </si>
  <si>
    <t>46 SPY POND PKWY</t>
  </si>
  <si>
    <t>ARLINGTON</t>
  </si>
  <si>
    <t>02474</t>
  </si>
  <si>
    <t>7461-314</t>
  </si>
  <si>
    <t>001-11-00</t>
  </si>
  <si>
    <t>5018</t>
  </si>
  <si>
    <t>1022</t>
  </si>
  <si>
    <t>001-12-00</t>
  </si>
  <si>
    <t>324</t>
  </si>
  <si>
    <t>6014</t>
  </si>
  <si>
    <t>1024</t>
  </si>
  <si>
    <t>SHIEF TRS</t>
  </si>
  <si>
    <t>BERRIL</t>
  </si>
  <si>
    <t>GOODMAN</t>
  </si>
  <si>
    <t>CAROL S</t>
  </si>
  <si>
    <t>250 BOYLSTON ST #3B</t>
  </si>
  <si>
    <t>BOSTON</t>
  </si>
  <si>
    <t>02116-3954</t>
  </si>
  <si>
    <t>25789-317</t>
  </si>
  <si>
    <t>001-13-01</t>
  </si>
  <si>
    <t>329</t>
  </si>
  <si>
    <t>8006</t>
  </si>
  <si>
    <t>1038</t>
  </si>
  <si>
    <t>CR-2 &amp; P2</t>
  </si>
  <si>
    <t>SGC REALTY LLC</t>
  </si>
  <si>
    <t>45 CHESTER ST</t>
  </si>
  <si>
    <t>NEWTON HIGHLANDS</t>
  </si>
  <si>
    <t>02461</t>
  </si>
  <si>
    <t>34428-568</t>
  </si>
  <si>
    <t>001-13-02</t>
  </si>
  <si>
    <t>102</t>
  </si>
  <si>
    <t>107</t>
  </si>
  <si>
    <t>9002</t>
  </si>
  <si>
    <t>KEITH</t>
  </si>
  <si>
    <t>THOMAS OCONNELL</t>
  </si>
  <si>
    <t>1038 BEACON ST #A</t>
  </si>
  <si>
    <t>41908-56</t>
  </si>
  <si>
    <t>Y</t>
  </si>
  <si>
    <t>001-13-03</t>
  </si>
  <si>
    <t>10030</t>
  </si>
  <si>
    <t>B</t>
  </si>
  <si>
    <t>MOBE 12 LLC</t>
  </si>
  <si>
    <t>204 CLOCKTOWER DR #6211</t>
  </si>
  <si>
    <t>WALTHAM</t>
  </si>
  <si>
    <t>02452</t>
  </si>
  <si>
    <t>28620-120</t>
  </si>
  <si>
    <t>001-13-04</t>
  </si>
  <si>
    <t>11026</t>
  </si>
  <si>
    <t>C</t>
  </si>
  <si>
    <t>EVANS</t>
  </si>
  <si>
    <t>STUART ALEXANDER &amp; STUART ANTHONY &amp; LESLIE L</t>
  </si>
  <si>
    <t>1038 BEACON ST #C</t>
  </si>
  <si>
    <t>40996-318</t>
  </si>
  <si>
    <t>001-13-05</t>
  </si>
  <si>
    <t>12022</t>
  </si>
  <si>
    <t>100 &amp; P1</t>
  </si>
  <si>
    <t>TRUMAN</t>
  </si>
  <si>
    <t>ROBERT HENRY</t>
  </si>
  <si>
    <t>JOE</t>
  </si>
  <si>
    <t>STEPHANIE</t>
  </si>
  <si>
    <t>1038 BEACON ST #100</t>
  </si>
  <si>
    <t>36406-66</t>
  </si>
  <si>
    <t>001-13-06</t>
  </si>
  <si>
    <t>13018</t>
  </si>
  <si>
    <t>101 &amp; P3</t>
  </si>
  <si>
    <t>PANG</t>
  </si>
  <si>
    <t>LEE &amp; ALL LLC</t>
  </si>
  <si>
    <t>C/O PANG</t>
  </si>
  <si>
    <t>FU YUNG</t>
  </si>
  <si>
    <t>644 HAMMOND ST</t>
  </si>
  <si>
    <t>25432-398</t>
  </si>
  <si>
    <t>001-13-07</t>
  </si>
  <si>
    <t>14014</t>
  </si>
  <si>
    <t>LIU</t>
  </si>
  <si>
    <t>TERESA</t>
  </si>
  <si>
    <t>YOUNG</t>
  </si>
  <si>
    <t>ERIC</t>
  </si>
  <si>
    <t>62 WOODLAND RD</t>
  </si>
  <si>
    <t>BEDFORD</t>
  </si>
  <si>
    <t>01730</t>
  </si>
  <si>
    <t>9153-507</t>
  </si>
  <si>
    <t>001-13-08</t>
  </si>
  <si>
    <t>345</t>
  </si>
  <si>
    <t>15010</t>
  </si>
  <si>
    <t>103 &amp; P14</t>
  </si>
  <si>
    <t>LEAO DESLANDES TR</t>
  </si>
  <si>
    <t>CAIO &amp; MARIA L G</t>
  </si>
  <si>
    <t>16 FISK AVE</t>
  </si>
  <si>
    <t>SOMERVILLE</t>
  </si>
  <si>
    <t>02145</t>
  </si>
  <si>
    <t>38165-194</t>
  </si>
  <si>
    <t>001-13-09</t>
  </si>
  <si>
    <t>16006</t>
  </si>
  <si>
    <t>104 &amp; P8</t>
  </si>
  <si>
    <t>TSO TRS</t>
  </si>
  <si>
    <t>DAVID &amp; VICTORIA</t>
  </si>
  <si>
    <t>1038 BEACON ST #104</t>
  </si>
  <si>
    <t>42480 - 9</t>
  </si>
  <si>
    <t>001-13-10</t>
  </si>
  <si>
    <t>17002</t>
  </si>
  <si>
    <t>200 &amp; P4</t>
  </si>
  <si>
    <t>CHOW TRS</t>
  </si>
  <si>
    <t>JASON A</t>
  </si>
  <si>
    <t>SULLIVAN</t>
  </si>
  <si>
    <t>MICHAEL G</t>
  </si>
  <si>
    <t>1038 BEACON ST # 200</t>
  </si>
  <si>
    <t>37304-434</t>
  </si>
  <si>
    <t>001-13-11</t>
  </si>
  <si>
    <t>18035</t>
  </si>
  <si>
    <t>201 &amp; P17</t>
  </si>
  <si>
    <t>KRASNER TR</t>
  </si>
  <si>
    <t>LORI E</t>
  </si>
  <si>
    <t>118 DWINELL ST</t>
  </si>
  <si>
    <t xml:space="preserve">WEST ROXBURY </t>
  </si>
  <si>
    <t>02132</t>
  </si>
  <si>
    <t>35056-402</t>
  </si>
  <si>
    <t>001-13-12</t>
  </si>
  <si>
    <t>19031</t>
  </si>
  <si>
    <t>202</t>
  </si>
  <si>
    <t>BOHR</t>
  </si>
  <si>
    <t>ROBERT &amp; TRUDY &amp; COURTNEY</t>
  </si>
  <si>
    <t>1038 BEACON ST  # 202</t>
  </si>
  <si>
    <t>40310-422</t>
  </si>
  <si>
    <t>001-13-13</t>
  </si>
  <si>
    <t>20022</t>
  </si>
  <si>
    <t>203 &amp; P7</t>
  </si>
  <si>
    <t>SIMA</t>
  </si>
  <si>
    <t>ANQI</t>
  </si>
  <si>
    <t>FU</t>
  </si>
  <si>
    <t>BIN</t>
  </si>
  <si>
    <t>1038 BEACON ST #203</t>
  </si>
  <si>
    <t>37104-175</t>
  </si>
  <si>
    <t>001-13-14</t>
  </si>
  <si>
    <t>21018</t>
  </si>
  <si>
    <t>204&amp; P5</t>
  </si>
  <si>
    <t>VASANTHA</t>
  </si>
  <si>
    <t>SREEMALI</t>
  </si>
  <si>
    <t>ANJANEYULU</t>
  </si>
  <si>
    <t>SUJATHA</t>
  </si>
  <si>
    <t>16 CHERRY LN</t>
  </si>
  <si>
    <t>NH</t>
  </si>
  <si>
    <t>03110</t>
  </si>
  <si>
    <t>36957-289</t>
  </si>
  <si>
    <t>001-13-15</t>
  </si>
  <si>
    <t>22014</t>
  </si>
  <si>
    <t>300 &amp; P11</t>
  </si>
  <si>
    <t>BEHNEGAR</t>
  </si>
  <si>
    <t>NASSER</t>
  </si>
  <si>
    <t>PARKER</t>
  </si>
  <si>
    <t>ALICE</t>
  </si>
  <si>
    <t>1038 BEACON ST #300</t>
  </si>
  <si>
    <t>11396-065</t>
  </si>
  <si>
    <t>001-13-16</t>
  </si>
  <si>
    <t>23010</t>
  </si>
  <si>
    <t>301 &amp; P6</t>
  </si>
  <si>
    <t>ELLIOTT TRS</t>
  </si>
  <si>
    <t>LAWRENCE C &amp; LORI S</t>
  </si>
  <si>
    <t>1038 BEACON ST #301</t>
  </si>
  <si>
    <t>38310-283</t>
  </si>
  <si>
    <t>001-13-17</t>
  </si>
  <si>
    <t>24006</t>
  </si>
  <si>
    <t>302</t>
  </si>
  <si>
    <t>WANG</t>
  </si>
  <si>
    <t>YAN</t>
  </si>
  <si>
    <t>18 GLENCOE ST</t>
  </si>
  <si>
    <t>02135</t>
  </si>
  <si>
    <t>41660-276</t>
  </si>
  <si>
    <t>001-13-18</t>
  </si>
  <si>
    <t>25002</t>
  </si>
  <si>
    <t>303 &amp; P19</t>
  </si>
  <si>
    <t>TRI-CORNER REALTY LLC</t>
  </si>
  <si>
    <t>27 WINTHROP RD</t>
  </si>
  <si>
    <t>02445</t>
  </si>
  <si>
    <t>8977-672</t>
  </si>
  <si>
    <t>001-13-19</t>
  </si>
  <si>
    <t>26035</t>
  </si>
  <si>
    <t>304 &amp; P12</t>
  </si>
  <si>
    <t>HUNG</t>
  </si>
  <si>
    <t>STEPHEN</t>
  </si>
  <si>
    <t>1038 BEACON ST #304</t>
  </si>
  <si>
    <t>23694-274</t>
  </si>
  <si>
    <t>001-13-20</t>
  </si>
  <si>
    <t>27031</t>
  </si>
  <si>
    <t>400 &amp; P16</t>
  </si>
  <si>
    <t>RUSSELL B</t>
  </si>
  <si>
    <t>1038 BEACON ST #400</t>
  </si>
  <si>
    <t>13885-198</t>
  </si>
  <si>
    <t>001-13-21</t>
  </si>
  <si>
    <t>28027</t>
  </si>
  <si>
    <t>401 &amp; P10</t>
  </si>
  <si>
    <t>KIRDA</t>
  </si>
  <si>
    <t>ENGIN</t>
  </si>
  <si>
    <t>1038 BEACON ST #401</t>
  </si>
  <si>
    <t>31665-295</t>
  </si>
  <si>
    <t>001-13-22</t>
  </si>
  <si>
    <t>29023</t>
  </si>
  <si>
    <t>402 &amp; P18</t>
  </si>
  <si>
    <t>1038 BEACON NAUSET GROUP LLC</t>
  </si>
  <si>
    <t>P O BOX 51</t>
  </si>
  <si>
    <t>WABAN</t>
  </si>
  <si>
    <t>02468</t>
  </si>
  <si>
    <t>23725-599</t>
  </si>
  <si>
    <t>001-13-23</t>
  </si>
  <si>
    <t>30014</t>
  </si>
  <si>
    <t>403 &amp; P13</t>
  </si>
  <si>
    <t>TESFAIGZI</t>
  </si>
  <si>
    <t>YOHANNES</t>
  </si>
  <si>
    <t>TEWOLDE</t>
  </si>
  <si>
    <t>ADDA</t>
  </si>
  <si>
    <t>1038 BEACON ST #403</t>
  </si>
  <si>
    <t>38418-463</t>
  </si>
  <si>
    <t>001-13-24</t>
  </si>
  <si>
    <t>31010</t>
  </si>
  <si>
    <t>404 &amp; P15</t>
  </si>
  <si>
    <t>FASTOV</t>
  </si>
  <si>
    <t>RITA</t>
  </si>
  <si>
    <t>1140 BEACON ST</t>
  </si>
  <si>
    <t>11028-615</t>
  </si>
  <si>
    <t>001-13-25</t>
  </si>
  <si>
    <t>7010</t>
  </si>
  <si>
    <t>CR-1 &amp; P9</t>
  </si>
  <si>
    <t>JAPARA LLC</t>
  </si>
  <si>
    <t>28 CHURCH ST STE 14 #5512</t>
  </si>
  <si>
    <t>WINCHESTER</t>
  </si>
  <si>
    <t>01890</t>
  </si>
  <si>
    <t>42510 - 139</t>
  </si>
  <si>
    <t>001-14-01</t>
  </si>
  <si>
    <t>32006</t>
  </si>
  <si>
    <t>1044</t>
  </si>
  <si>
    <t>1</t>
  </si>
  <si>
    <t>SALLET</t>
  </si>
  <si>
    <t>LAUREN</t>
  </si>
  <si>
    <t>46 DONNELLY DR</t>
  </si>
  <si>
    <t>DOVER</t>
  </si>
  <si>
    <t>02030</t>
  </si>
  <si>
    <t>782383</t>
  </si>
  <si>
    <t>001-14-02</t>
  </si>
  <si>
    <t>33002</t>
  </si>
  <si>
    <t>1042</t>
  </si>
  <si>
    <t>1A</t>
  </si>
  <si>
    <t>782384</t>
  </si>
  <si>
    <t>001-14-03</t>
  </si>
  <si>
    <t>34035</t>
  </si>
  <si>
    <t>1046</t>
  </si>
  <si>
    <t>2</t>
  </si>
  <si>
    <t>CHRISTAKIS TR</t>
  </si>
  <si>
    <t>CHRIS</t>
  </si>
  <si>
    <t>1046 BEACON ST #2</t>
  </si>
  <si>
    <t>1522721</t>
  </si>
  <si>
    <t>001-14-04</t>
  </si>
  <si>
    <t>35031</t>
  </si>
  <si>
    <t>1050</t>
  </si>
  <si>
    <t>3</t>
  </si>
  <si>
    <t>KOLGIAN</t>
  </si>
  <si>
    <t>BARRY &amp; LOIS</t>
  </si>
  <si>
    <t>274 COMMON ST</t>
  </si>
  <si>
    <t>WATERTOWN</t>
  </si>
  <si>
    <t>02472</t>
  </si>
  <si>
    <t>587981</t>
  </si>
  <si>
    <t>001-14-05</t>
  </si>
  <si>
    <t>36027</t>
  </si>
  <si>
    <t>1052</t>
  </si>
  <si>
    <t>4</t>
  </si>
  <si>
    <t>NEWTON</t>
  </si>
  <si>
    <t>1272963</t>
  </si>
  <si>
    <t>001-14-06</t>
  </si>
  <si>
    <t>37023</t>
  </si>
  <si>
    <t>1054</t>
  </si>
  <si>
    <t>5</t>
  </si>
  <si>
    <t>1272965</t>
  </si>
  <si>
    <t>001-15-01</t>
  </si>
  <si>
    <t>39015</t>
  </si>
  <si>
    <t>67</t>
  </si>
  <si>
    <t>CARLTON ST</t>
  </si>
  <si>
    <t>2 &amp; P2</t>
  </si>
  <si>
    <t>PEAK</t>
  </si>
  <si>
    <t>DAVID</t>
  </si>
  <si>
    <t>ARAI</t>
  </si>
  <si>
    <t>MAYA</t>
  </si>
  <si>
    <t>67 CARLTON ST #2</t>
  </si>
  <si>
    <t>1329528</t>
  </si>
  <si>
    <t>001-15-02</t>
  </si>
  <si>
    <t>40006</t>
  </si>
  <si>
    <t>STICKELLS</t>
  </si>
  <si>
    <t>STEPHEN C</t>
  </si>
  <si>
    <t>67 CARLTON ST #3</t>
  </si>
  <si>
    <t>419612</t>
  </si>
  <si>
    <t>001-15-03</t>
  </si>
  <si>
    <t>41002</t>
  </si>
  <si>
    <t>4 &amp; P4-P5</t>
  </si>
  <si>
    <t>861897</t>
  </si>
  <si>
    <t>001-15-04</t>
  </si>
  <si>
    <t>38019</t>
  </si>
  <si>
    <t>1 &amp; P1</t>
  </si>
  <si>
    <t>TOY</t>
  </si>
  <si>
    <t>JOHN S &amp; ROSEMARY</t>
  </si>
  <si>
    <t>508 N STATE ST</t>
  </si>
  <si>
    <t>CONCORD</t>
  </si>
  <si>
    <t>03301-3245</t>
  </si>
  <si>
    <t>843555</t>
  </si>
  <si>
    <t>001-16-00</t>
  </si>
  <si>
    <t>101</t>
  </si>
  <si>
    <t>42035</t>
  </si>
  <si>
    <t>71</t>
  </si>
  <si>
    <t>WARREN</t>
  </si>
  <si>
    <t>PAUL J</t>
  </si>
  <si>
    <t>EVENSON</t>
  </si>
  <si>
    <t xml:space="preserve">AMY </t>
  </si>
  <si>
    <t>71 CARLTON ST</t>
  </si>
  <si>
    <t>35412-354</t>
  </si>
  <si>
    <t>S-7</t>
  </si>
  <si>
    <t>001-17-00</t>
  </si>
  <si>
    <t>43031</t>
  </si>
  <si>
    <t>79</t>
  </si>
  <si>
    <t>ERICSSON</t>
  </si>
  <si>
    <t>STAFFAN</t>
  </si>
  <si>
    <t>79 CARLTON ST</t>
  </si>
  <si>
    <t>11697-047</t>
  </si>
  <si>
    <t>001-18-00</t>
  </si>
  <si>
    <t>44027</t>
  </si>
  <si>
    <t>89</t>
  </si>
  <si>
    <t>KANES</t>
  </si>
  <si>
    <t>STEVEN R</t>
  </si>
  <si>
    <t>MOORE</t>
  </si>
  <si>
    <t>NANCY J</t>
  </si>
  <si>
    <t>89 CARLTON ST</t>
  </si>
  <si>
    <t>13131-549</t>
  </si>
  <si>
    <t>001-19-00</t>
  </si>
  <si>
    <t>45023</t>
  </si>
  <si>
    <t>95</t>
  </si>
  <si>
    <t>TEMPEL</t>
  </si>
  <si>
    <t>JEAN C</t>
  </si>
  <si>
    <t>WILSON</t>
  </si>
  <si>
    <t>PETER A</t>
  </si>
  <si>
    <t>95 CARLTON ST</t>
  </si>
  <si>
    <t>23446-591</t>
  </si>
  <si>
    <t>001-19-02</t>
  </si>
  <si>
    <t>132</t>
  </si>
  <si>
    <t>46019</t>
  </si>
  <si>
    <t>IVY ST</t>
  </si>
  <si>
    <t>SOLLAMI</t>
  </si>
  <si>
    <t>ALFRED &amp; ANNA</t>
  </si>
  <si>
    <t>TEMPEL ET AL</t>
  </si>
  <si>
    <t xml:space="preserve">JEAN </t>
  </si>
  <si>
    <t>108 IVY ST</t>
  </si>
  <si>
    <t>39742-585</t>
  </si>
  <si>
    <t>001-19-04</t>
  </si>
  <si>
    <t>106</t>
  </si>
  <si>
    <t>47015</t>
  </si>
  <si>
    <t>001-20-00</t>
  </si>
  <si>
    <t>48011</t>
  </si>
  <si>
    <t>108</t>
  </si>
  <si>
    <t>001-21-00</t>
  </si>
  <si>
    <t>109</t>
  </si>
  <si>
    <t>49007</t>
  </si>
  <si>
    <t>96</t>
  </si>
  <si>
    <t>HIRSCH TRS</t>
  </si>
  <si>
    <t>ANDREW J &amp; ALLISON P</t>
  </si>
  <si>
    <t>96 IVY ST</t>
  </si>
  <si>
    <t>40513-88</t>
  </si>
  <si>
    <t>001-22-00</t>
  </si>
  <si>
    <t>50035</t>
  </si>
  <si>
    <t>90</t>
  </si>
  <si>
    <t>IVY BROOKLINE DEVELOPMENT LLC</t>
  </si>
  <si>
    <t>300 FIRST AVE STE 300</t>
  </si>
  <si>
    <t>NEEDHAM</t>
  </si>
  <si>
    <t>02494</t>
  </si>
  <si>
    <t>41231-215</t>
  </si>
  <si>
    <t>001-23-00</t>
  </si>
  <si>
    <t>112</t>
  </si>
  <si>
    <t>51031</t>
  </si>
  <si>
    <t>80</t>
  </si>
  <si>
    <t>BOSTON UNIVERSITY TRS</t>
  </si>
  <si>
    <t>C/O GENERAL ACCOUNTING 4TH FLR</t>
  </si>
  <si>
    <t>881 COMMONWEALTH AV</t>
  </si>
  <si>
    <t>02215</t>
  </si>
  <si>
    <t>5477-313</t>
  </si>
  <si>
    <t>M20</t>
  </si>
  <si>
    <t>001-26-00</t>
  </si>
  <si>
    <t>105</t>
  </si>
  <si>
    <t>52027</t>
  </si>
  <si>
    <t>15</t>
  </si>
  <si>
    <t>ST MARYS CT</t>
  </si>
  <si>
    <t>15 ST MARY`S CT LLC</t>
  </si>
  <si>
    <t>28838-303</t>
  </si>
  <si>
    <t>M15</t>
  </si>
  <si>
    <t>001-27-00</t>
  </si>
  <si>
    <t>53023</t>
  </si>
  <si>
    <t>19</t>
  </si>
  <si>
    <t>ARENDT</t>
  </si>
  <si>
    <t>CHRISTOPHER</t>
  </si>
  <si>
    <t>19 ST MARYS CT</t>
  </si>
  <si>
    <t>37896-300</t>
  </si>
  <si>
    <t>001-28-00</t>
  </si>
  <si>
    <t>54019</t>
  </si>
  <si>
    <t>23</t>
  </si>
  <si>
    <t>POLITMAN, TRS</t>
  </si>
  <si>
    <t>ALEXANDER M &amp; ANGELA V</t>
  </si>
  <si>
    <t>23 ST MARYS CT</t>
  </si>
  <si>
    <t>11752-344</t>
  </si>
  <si>
    <t>001-29-00</t>
  </si>
  <si>
    <t>111</t>
  </si>
  <si>
    <t>55015</t>
  </si>
  <si>
    <t>25</t>
  </si>
  <si>
    <t>25 ST MARYS COURT LLC</t>
  </si>
  <si>
    <t>36561-346</t>
  </si>
  <si>
    <t>001-30-00</t>
  </si>
  <si>
    <t>56011</t>
  </si>
  <si>
    <t>27</t>
  </si>
  <si>
    <t>TRACY</t>
  </si>
  <si>
    <t>JOANNE</t>
  </si>
  <si>
    <t>27 ST MARYS CT</t>
  </si>
  <si>
    <t>30684-467</t>
  </si>
  <si>
    <t>001-31-00</t>
  </si>
  <si>
    <t>57007</t>
  </si>
  <si>
    <t>29</t>
  </si>
  <si>
    <t>ADIREKSARN</t>
  </si>
  <si>
    <t>GUNN</t>
  </si>
  <si>
    <t>29 ST MARYS CT</t>
  </si>
  <si>
    <t>41372-138</t>
  </si>
  <si>
    <t>001-31-01</t>
  </si>
  <si>
    <t>58003</t>
  </si>
  <si>
    <t>ST MARYS ST</t>
  </si>
  <si>
    <t>001-31-02</t>
  </si>
  <si>
    <t>59036</t>
  </si>
  <si>
    <t>002-01-01</t>
  </si>
  <si>
    <t>61023</t>
  </si>
  <si>
    <t>83</t>
  </si>
  <si>
    <t>11</t>
  </si>
  <si>
    <t>RAVUNNIARATH</t>
  </si>
  <si>
    <t>ATHUL</t>
  </si>
  <si>
    <t>BENSSON-RAVUNNIARATH</t>
  </si>
  <si>
    <t>MARA</t>
  </si>
  <si>
    <t>83 IVY ST #11</t>
  </si>
  <si>
    <t>40993-584</t>
  </si>
  <si>
    <t>002-01-02</t>
  </si>
  <si>
    <t>62019</t>
  </si>
  <si>
    <t>12</t>
  </si>
  <si>
    <t>LIN</t>
  </si>
  <si>
    <t>CHIH-JEN &amp; HUEI HSUAN</t>
  </si>
  <si>
    <t>83 IVY ST #12</t>
  </si>
  <si>
    <t>41692-282</t>
  </si>
  <si>
    <t>002-01-03</t>
  </si>
  <si>
    <t>63015</t>
  </si>
  <si>
    <t>13</t>
  </si>
  <si>
    <t>JALETTE</t>
  </si>
  <si>
    <t>RAYMOND</t>
  </si>
  <si>
    <t>PAN</t>
  </si>
  <si>
    <t>SHAOLIN</t>
  </si>
  <si>
    <t>83 IVY ST #13</t>
  </si>
  <si>
    <t>13478-418</t>
  </si>
  <si>
    <t>002-01-04</t>
  </si>
  <si>
    <t>64011</t>
  </si>
  <si>
    <t>14</t>
  </si>
  <si>
    <t>MUCHA</t>
  </si>
  <si>
    <t>CARLOS</t>
  </si>
  <si>
    <t>167 FARM ST</t>
  </si>
  <si>
    <t>MILLIS</t>
  </si>
  <si>
    <t>02054</t>
  </si>
  <si>
    <t>34068-119</t>
  </si>
  <si>
    <t>002-01-05</t>
  </si>
  <si>
    <t>65007</t>
  </si>
  <si>
    <t>21</t>
  </si>
  <si>
    <t>LOKSHIN</t>
  </si>
  <si>
    <t>ABIGAIL</t>
  </si>
  <si>
    <t>83 IVY ST #21</t>
  </si>
  <si>
    <t>41776-316</t>
  </si>
  <si>
    <t>002-01-06</t>
  </si>
  <si>
    <t>66003</t>
  </si>
  <si>
    <t>22</t>
  </si>
  <si>
    <t>URENECK</t>
  </si>
  <si>
    <t>LOUIS A</t>
  </si>
  <si>
    <t>83 IVY ST #22</t>
  </si>
  <si>
    <t>21344-432</t>
  </si>
  <si>
    <t>002-01-07</t>
  </si>
  <si>
    <t>67036</t>
  </si>
  <si>
    <t>MALTES</t>
  </si>
  <si>
    <t>JAVIER EDUARDO RAMOS</t>
  </si>
  <si>
    <t>ANDRACA</t>
  </si>
  <si>
    <t>MONICA CRISTINA OLIVER</t>
  </si>
  <si>
    <t>83 IVY ST #23</t>
  </si>
  <si>
    <t>36438-588</t>
  </si>
  <si>
    <t>002-01-08</t>
  </si>
  <si>
    <t>68032</t>
  </si>
  <si>
    <t>24</t>
  </si>
  <si>
    <t>TRUSTEES OF BOSTON UNIVERSITY</t>
  </si>
  <si>
    <t>881 COMMONWEALTH AVE</t>
  </si>
  <si>
    <t>21582-312</t>
  </si>
  <si>
    <t>002-01-09</t>
  </si>
  <si>
    <t>69028</t>
  </si>
  <si>
    <t>31</t>
  </si>
  <si>
    <t>FLOYD TR</t>
  </si>
  <si>
    <t>JULIET H</t>
  </si>
  <si>
    <t>83 IVY ST #31</t>
  </si>
  <si>
    <t>37430-78</t>
  </si>
  <si>
    <t>002-01-10</t>
  </si>
  <si>
    <t>70019</t>
  </si>
  <si>
    <t>32</t>
  </si>
  <si>
    <t>25379-294</t>
  </si>
  <si>
    <t>002-01-11</t>
  </si>
  <si>
    <t>71015</t>
  </si>
  <si>
    <t>33</t>
  </si>
  <si>
    <t>CARROLL</t>
  </si>
  <si>
    <t>JOHN &amp; TARA</t>
  </si>
  <si>
    <t>83 IVY ST #33</t>
  </si>
  <si>
    <t>42572 - 387</t>
  </si>
  <si>
    <t>002-01-12</t>
  </si>
  <si>
    <t>72011</t>
  </si>
  <si>
    <t>34</t>
  </si>
  <si>
    <t>TERRELL</t>
  </si>
  <si>
    <t>CHARLES</t>
  </si>
  <si>
    <t>83 IVY ST #34</t>
  </si>
  <si>
    <t>6548-13</t>
  </si>
  <si>
    <t>002-01-13</t>
  </si>
  <si>
    <t>73007</t>
  </si>
  <si>
    <t>41</t>
  </si>
  <si>
    <t>WALKER LIFE ESTATE</t>
  </si>
  <si>
    <t xml:space="preserve">JOHN G </t>
  </si>
  <si>
    <t>83 IVY ST #41</t>
  </si>
  <si>
    <t>34955-515</t>
  </si>
  <si>
    <t>002-01-14</t>
  </si>
  <si>
    <t>74003</t>
  </si>
  <si>
    <t>42</t>
  </si>
  <si>
    <t>CHOBANIAN JR</t>
  </si>
  <si>
    <t>ARAM V</t>
  </si>
  <si>
    <t>83 IVY ST #42</t>
  </si>
  <si>
    <t>12127-319</t>
  </si>
  <si>
    <t>002-01-15</t>
  </si>
  <si>
    <t>75036</t>
  </si>
  <si>
    <t>43</t>
  </si>
  <si>
    <t>KEVIN HAO-YU</t>
  </si>
  <si>
    <t>LI</t>
  </si>
  <si>
    <t>TRUDY</t>
  </si>
  <si>
    <t>83 IVY ST #43</t>
  </si>
  <si>
    <t>41737-527</t>
  </si>
  <si>
    <t>002-01-16</t>
  </si>
  <si>
    <t>76032</t>
  </si>
  <si>
    <t>44</t>
  </si>
  <si>
    <t>AFTAHI</t>
  </si>
  <si>
    <t>KIANA &amp; SHAHAB</t>
  </si>
  <si>
    <t>83 IVY ST #44</t>
  </si>
  <si>
    <t>40751-399</t>
  </si>
  <si>
    <t>002-01-17</t>
  </si>
  <si>
    <t>60027</t>
  </si>
  <si>
    <t>B-1</t>
  </si>
  <si>
    <t>SAN</t>
  </si>
  <si>
    <t>DEBRA</t>
  </si>
  <si>
    <t>83 IVY ST #B-1</t>
  </si>
  <si>
    <t>38930-237</t>
  </si>
  <si>
    <t>002-02-00</t>
  </si>
  <si>
    <t>77028</t>
  </si>
  <si>
    <t>87</t>
  </si>
  <si>
    <t>WEISEL TR</t>
  </si>
  <si>
    <t>LAURA</t>
  </si>
  <si>
    <t>87 IVY ST</t>
  </si>
  <si>
    <t>36689-254</t>
  </si>
  <si>
    <t>002-03-00</t>
  </si>
  <si>
    <t>78024</t>
  </si>
  <si>
    <t>93</t>
  </si>
  <si>
    <t>MOYER</t>
  </si>
  <si>
    <t>BENTON L III</t>
  </si>
  <si>
    <t>93 IVY ST</t>
  </si>
  <si>
    <t>33161-41</t>
  </si>
  <si>
    <t>002-04-00</t>
  </si>
  <si>
    <t>79020</t>
  </si>
  <si>
    <t>THORN</t>
  </si>
  <si>
    <t>JEFFREY G</t>
  </si>
  <si>
    <t>QUASHA</t>
  </si>
  <si>
    <t>DEVON R</t>
  </si>
  <si>
    <t>101 IVY ST</t>
  </si>
  <si>
    <t>35247-448</t>
  </si>
  <si>
    <t>002-05-00</t>
  </si>
  <si>
    <t>80011</t>
  </si>
  <si>
    <t>MINSKY</t>
  </si>
  <si>
    <t>MARVIN L &amp; GLORIA R</t>
  </si>
  <si>
    <t>111 IVY ST</t>
  </si>
  <si>
    <t>3819-208</t>
  </si>
  <si>
    <t>002-06-00</t>
  </si>
  <si>
    <t>81007</t>
  </si>
  <si>
    <t>SULAK</t>
  </si>
  <si>
    <t>LAWRENCE R &amp; ELIZABETH C</t>
  </si>
  <si>
    <t>111 CARLTON ST</t>
  </si>
  <si>
    <t>5304-255</t>
  </si>
  <si>
    <t>002-07-00</t>
  </si>
  <si>
    <t>82003</t>
  </si>
  <si>
    <t>121</t>
  </si>
  <si>
    <t>RDF CORPORATION</t>
  </si>
  <si>
    <t>23 ELM AVE</t>
  </si>
  <si>
    <t>HUDSON</t>
  </si>
  <si>
    <t>03051</t>
  </si>
  <si>
    <t>41259-320</t>
  </si>
  <si>
    <t>002-08-00</t>
  </si>
  <si>
    <t>83036</t>
  </si>
  <si>
    <t>36</t>
  </si>
  <si>
    <t>EUSTON ST</t>
  </si>
  <si>
    <t>CHIN TRS</t>
  </si>
  <si>
    <t>JOSEPHINE L</t>
  </si>
  <si>
    <t>36 EUSTON ST</t>
  </si>
  <si>
    <t xml:space="preserve">BROOKLINE </t>
  </si>
  <si>
    <t>33613-48</t>
  </si>
  <si>
    <t>002-09-01</t>
  </si>
  <si>
    <t>85028</t>
  </si>
  <si>
    <t>ALBUQUERQUE</t>
  </si>
  <si>
    <t>RUI &amp; ANA</t>
  </si>
  <si>
    <t>24 EUSTON ST #2</t>
  </si>
  <si>
    <t>22659-150</t>
  </si>
  <si>
    <t>002-09-02</t>
  </si>
  <si>
    <t>86024</t>
  </si>
  <si>
    <t>WINE</t>
  </si>
  <si>
    <t>RAZ</t>
  </si>
  <si>
    <t>TAL</t>
  </si>
  <si>
    <t>24 EUSTON ST #3</t>
  </si>
  <si>
    <t>16912-490</t>
  </si>
  <si>
    <t>002-09-03</t>
  </si>
  <si>
    <t>84032</t>
  </si>
  <si>
    <t>1 &amp; P4-P5</t>
  </si>
  <si>
    <t>LATIF</t>
  </si>
  <si>
    <t>RAYMOND &amp; SUMMER DEMBEK</t>
  </si>
  <si>
    <t>24 EUSTON ST #1</t>
  </si>
  <si>
    <t>33575-43</t>
  </si>
  <si>
    <t>002-10-00</t>
  </si>
  <si>
    <t>87020</t>
  </si>
  <si>
    <t>NORA LLC</t>
  </si>
  <si>
    <t>C/O ALPHA MANAGEMENT</t>
  </si>
  <si>
    <t>1249 BEACON ST #1</t>
  </si>
  <si>
    <t>27669-213</t>
  </si>
  <si>
    <t>002-11-00</t>
  </si>
  <si>
    <t>88016</t>
  </si>
  <si>
    <t>18</t>
  </si>
  <si>
    <t>002-12-00</t>
  </si>
  <si>
    <t>89012</t>
  </si>
  <si>
    <t>16</t>
  </si>
  <si>
    <t>002-13-01</t>
  </si>
  <si>
    <t>91036</t>
  </si>
  <si>
    <t>ASHTON-RICKARDT</t>
  </si>
  <si>
    <t>PHILIP GEORGE &amp; ANA-MARIA</t>
  </si>
  <si>
    <t>12 EUSTON ST #2</t>
  </si>
  <si>
    <t>39639-141</t>
  </si>
  <si>
    <t>002-13-02</t>
  </si>
  <si>
    <t>92032</t>
  </si>
  <si>
    <t>THAYRE</t>
  </si>
  <si>
    <t>HELENI K</t>
  </si>
  <si>
    <t>12 EUSTON ST #3</t>
  </si>
  <si>
    <t>10397-50</t>
  </si>
  <si>
    <t>002-13-03</t>
  </si>
  <si>
    <t>90003</t>
  </si>
  <si>
    <t>SONNABEND, TR</t>
  </si>
  <si>
    <t>ROBERT G</t>
  </si>
  <si>
    <t>8624 GEREN RD</t>
  </si>
  <si>
    <t>SILVER SPRING</t>
  </si>
  <si>
    <t>MD</t>
  </si>
  <si>
    <t>20901</t>
  </si>
  <si>
    <t>10303-406</t>
  </si>
  <si>
    <t>002-14-01</t>
  </si>
  <si>
    <t>94024</t>
  </si>
  <si>
    <t>8</t>
  </si>
  <si>
    <t>WINGERTER</t>
  </si>
  <si>
    <t>SARAH</t>
  </si>
  <si>
    <t>8 EUSTON ST #2</t>
  </si>
  <si>
    <t>19883-518</t>
  </si>
  <si>
    <t>002-14-02</t>
  </si>
  <si>
    <t>95020</t>
  </si>
  <si>
    <t>3 &amp; PK  D</t>
  </si>
  <si>
    <t>LESTER &amp; CARRIE</t>
  </si>
  <si>
    <t>8 EUSTON ST #3</t>
  </si>
  <si>
    <t>02446-4034</t>
  </si>
  <si>
    <t>32147-273</t>
  </si>
  <si>
    <t>002-14-03</t>
  </si>
  <si>
    <t>96016</t>
  </si>
  <si>
    <t>4 &amp; P-B</t>
  </si>
  <si>
    <t>YE</t>
  </si>
  <si>
    <t>8 EUSTON ST #4</t>
  </si>
  <si>
    <t>34906-238</t>
  </si>
  <si>
    <t>002-14-04</t>
  </si>
  <si>
    <t>97012</t>
  </si>
  <si>
    <t>5 &amp; P- A</t>
  </si>
  <si>
    <t>WAN</t>
  </si>
  <si>
    <t>YANGXIAOYA</t>
  </si>
  <si>
    <t>8 EUSTON ST #5</t>
  </si>
  <si>
    <t>40601-1</t>
  </si>
  <si>
    <t>002-14-05</t>
  </si>
  <si>
    <t>98008</t>
  </si>
  <si>
    <t>6</t>
  </si>
  <si>
    <t>KHOUW</t>
  </si>
  <si>
    <t>TIMOTHY TAYLOR &amp; LENING</t>
  </si>
  <si>
    <t>8 EUSTON ST #6</t>
  </si>
  <si>
    <t>40689-597</t>
  </si>
  <si>
    <t>002-14-06</t>
  </si>
  <si>
    <t>93028</t>
  </si>
  <si>
    <t>1 &amp; P-C</t>
  </si>
  <si>
    <t>BANALIEVA</t>
  </si>
  <si>
    <t>ELITSA</t>
  </si>
  <si>
    <t>8 EUSTON ST #1</t>
  </si>
  <si>
    <t>31134-128</t>
  </si>
  <si>
    <t>002-15-01</t>
  </si>
  <si>
    <t>100022</t>
  </si>
  <si>
    <t>GOLDSMITH III</t>
  </si>
  <si>
    <t>ARTHUR AUSTIN</t>
  </si>
  <si>
    <t>4 EUSTON ST #2</t>
  </si>
  <si>
    <t>30473-574</t>
  </si>
  <si>
    <t>002-15-02</t>
  </si>
  <si>
    <t>101018</t>
  </si>
  <si>
    <t>COOK TRS</t>
  </si>
  <si>
    <t>CYNTHIA M &amp; D ERNEST</t>
  </si>
  <si>
    <t>4 EUSTON ST #3</t>
  </si>
  <si>
    <t>42247-490</t>
  </si>
  <si>
    <t>002-15-03</t>
  </si>
  <si>
    <t>99004</t>
  </si>
  <si>
    <t>ZAHLTEN</t>
  </si>
  <si>
    <t>ALEXANDER NIKOLAS &amp; RINA SERIZAWA</t>
  </si>
  <si>
    <t>4 EUSTON ST #1</t>
  </si>
  <si>
    <t>39874-597</t>
  </si>
  <si>
    <t>002-16-01</t>
  </si>
  <si>
    <t>103010</t>
  </si>
  <si>
    <t>DIAZ</t>
  </si>
  <si>
    <t>ELSA</t>
  </si>
  <si>
    <t>2 EUSTON ST #2</t>
  </si>
  <si>
    <t>6077-100</t>
  </si>
  <si>
    <t>002-16-02</t>
  </si>
  <si>
    <t>104006</t>
  </si>
  <si>
    <t>TSENG</t>
  </si>
  <si>
    <t>CHENG YIN &amp; CHIU MEI</t>
  </si>
  <si>
    <t>180 BONAD RD</t>
  </si>
  <si>
    <t>13028-308</t>
  </si>
  <si>
    <t>002-16-03</t>
  </si>
  <si>
    <t>105002</t>
  </si>
  <si>
    <t>DENNERY</t>
  </si>
  <si>
    <t>KRISTINE MICHELLE &amp; SHAUN MICHAEL</t>
  </si>
  <si>
    <t>2 EUSTON ST #4</t>
  </si>
  <si>
    <t>37982-124</t>
  </si>
  <si>
    <t>002-16-04</t>
  </si>
  <si>
    <t>106035</t>
  </si>
  <si>
    <t>GALVIN TR</t>
  </si>
  <si>
    <t>KEVIN D</t>
  </si>
  <si>
    <t>2 EUSTON ST #5</t>
  </si>
  <si>
    <t>38883-37</t>
  </si>
  <si>
    <t>002-16-05</t>
  </si>
  <si>
    <t>107031</t>
  </si>
  <si>
    <t>KRASIK</t>
  </si>
  <si>
    <t>2 EUSTON ST #6</t>
  </si>
  <si>
    <t>33766-61</t>
  </si>
  <si>
    <t>002-16-06</t>
  </si>
  <si>
    <t>108027</t>
  </si>
  <si>
    <t>7</t>
  </si>
  <si>
    <t>MONTERO</t>
  </si>
  <si>
    <t>FLAVIO B</t>
  </si>
  <si>
    <t>42 STATION ST #2</t>
  </si>
  <si>
    <t>6011-30</t>
  </si>
  <si>
    <t>002-16-07</t>
  </si>
  <si>
    <t>102014</t>
  </si>
  <si>
    <t>ZHOU</t>
  </si>
  <si>
    <t>YUXIN</t>
  </si>
  <si>
    <t>SHENG</t>
  </si>
  <si>
    <t>XUEFEI</t>
  </si>
  <si>
    <t>6303 MAIDEN LN</t>
  </si>
  <si>
    <t>BETHESEDA</t>
  </si>
  <si>
    <t>20817</t>
  </si>
  <si>
    <t>34250-333</t>
  </si>
  <si>
    <t>002-17-00</t>
  </si>
  <si>
    <t>109023</t>
  </si>
  <si>
    <t>65</t>
  </si>
  <si>
    <t>YEE TRS</t>
  </si>
  <si>
    <t>NINOTCHKA Y P</t>
  </si>
  <si>
    <t>78 LAGRANGE ST</t>
  </si>
  <si>
    <t>29050-380</t>
  </si>
  <si>
    <t>002-18-01</t>
  </si>
  <si>
    <t>111010</t>
  </si>
  <si>
    <t>ZUCKER TR</t>
  </si>
  <si>
    <t>ELLEN J</t>
  </si>
  <si>
    <t>71 ST MARYS ST #2</t>
  </si>
  <si>
    <t>21317-85</t>
  </si>
  <si>
    <t>002-18-02</t>
  </si>
  <si>
    <t>112006</t>
  </si>
  <si>
    <t>3 &amp; P-3</t>
  </si>
  <si>
    <t>GONCZAROWSKI</t>
  </si>
  <si>
    <t>YANNAI AHARON</t>
  </si>
  <si>
    <t>71 ST MARYS ST #3</t>
  </si>
  <si>
    <t>37017-492</t>
  </si>
  <si>
    <t>002-18-03</t>
  </si>
  <si>
    <t>110014</t>
  </si>
  <si>
    <t>GREGORY</t>
  </si>
  <si>
    <t>MICHAEL &amp; KAREN</t>
  </si>
  <si>
    <t>71 ST MARYS ST #1</t>
  </si>
  <si>
    <t>29396-82</t>
  </si>
  <si>
    <t>003-01-00</t>
  </si>
  <si>
    <t>113002</t>
  </si>
  <si>
    <t>135</t>
  </si>
  <si>
    <t>10649-390</t>
  </si>
  <si>
    <t>003-02-00</t>
  </si>
  <si>
    <t>99701020</t>
  </si>
  <si>
    <t>40</t>
  </si>
  <si>
    <t>PRESCOTT ST</t>
  </si>
  <si>
    <t>BURNS</t>
  </si>
  <si>
    <t>JAMES</t>
  </si>
  <si>
    <t>40 PRESCOTT ST</t>
  </si>
  <si>
    <t>39670-111</t>
  </si>
  <si>
    <t>003-03-00</t>
  </si>
  <si>
    <t>114035</t>
  </si>
  <si>
    <t>30</t>
  </si>
  <si>
    <t>GLASHOW TRS</t>
  </si>
  <si>
    <t>SHELDON L &amp; JOAN A</t>
  </si>
  <si>
    <t>30 PRESCOTT ST</t>
  </si>
  <si>
    <t>36438-69</t>
  </si>
  <si>
    <t>003-04-00</t>
  </si>
  <si>
    <t>115031</t>
  </si>
  <si>
    <t>58</t>
  </si>
  <si>
    <t>TOSCANI</t>
  </si>
  <si>
    <t>MICHELE</t>
  </si>
  <si>
    <t>58 EUSTON ST</t>
  </si>
  <si>
    <t>33666-26</t>
  </si>
  <si>
    <t>003-05-00</t>
  </si>
  <si>
    <t>116027</t>
  </si>
  <si>
    <t>122</t>
  </si>
  <si>
    <t>BOGOCH</t>
  </si>
  <si>
    <t>ELEANOR S</t>
  </si>
  <si>
    <t>46 EAST 91ST ST</t>
  </si>
  <si>
    <t>NEW YORK</t>
  </si>
  <si>
    <t>NY</t>
  </si>
  <si>
    <t>UNITED STATES</t>
  </si>
  <si>
    <t>10128</t>
  </si>
  <si>
    <t>3898-291</t>
  </si>
  <si>
    <t>004-01-00</t>
  </si>
  <si>
    <t>117023</t>
  </si>
  <si>
    <t>DE ICAZA TRS</t>
  </si>
  <si>
    <t>MIGUEL &amp; MARIA LAURA</t>
  </si>
  <si>
    <t>16 PRESCOTT ST</t>
  </si>
  <si>
    <t>38444-454</t>
  </si>
  <si>
    <t>004-02-00</t>
  </si>
  <si>
    <t>942</t>
  </si>
  <si>
    <t>99702016</t>
  </si>
  <si>
    <t>10</t>
  </si>
  <si>
    <t>LENOX ST</t>
  </si>
  <si>
    <t>C/O GENERAL  ACCOUNTING 4TH FL</t>
  </si>
  <si>
    <t>004-03-00</t>
  </si>
  <si>
    <t>99703012</t>
  </si>
  <si>
    <t>146</t>
  </si>
  <si>
    <t>18242</t>
  </si>
  <si>
    <t>004-04-00</t>
  </si>
  <si>
    <t>118019</t>
  </si>
  <si>
    <t>LEDBETTER</t>
  </si>
  <si>
    <t>MONTY STEPHEN</t>
  </si>
  <si>
    <t>132 CARLTON ST</t>
  </si>
  <si>
    <t>40533-259</t>
  </si>
  <si>
    <t>005-01-00</t>
  </si>
  <si>
    <t>945</t>
  </si>
  <si>
    <t>119015</t>
  </si>
  <si>
    <t>141</t>
  </si>
  <si>
    <t>9831-47</t>
  </si>
  <si>
    <t>005-02-00</t>
  </si>
  <si>
    <t>120006</t>
  </si>
  <si>
    <t>150</t>
  </si>
  <si>
    <t>MOUNTFORT ST</t>
  </si>
  <si>
    <t>11554-156</t>
  </si>
  <si>
    <t>005-03-00</t>
  </si>
  <si>
    <t>99704008</t>
  </si>
  <si>
    <t>138</t>
  </si>
  <si>
    <t>4116-412</t>
  </si>
  <si>
    <t>005-04-00</t>
  </si>
  <si>
    <t>121002</t>
  </si>
  <si>
    <t>37</t>
  </si>
  <si>
    <t>6031-126</t>
  </si>
  <si>
    <t>005-05-00</t>
  </si>
  <si>
    <t>122035</t>
  </si>
  <si>
    <t>49</t>
  </si>
  <si>
    <t>TOAYAN &amp; PHILLIP</t>
  </si>
  <si>
    <t>100 LOGAN DR</t>
  </si>
  <si>
    <t>BRAINTREE</t>
  </si>
  <si>
    <t>02184</t>
  </si>
  <si>
    <t>42208-276</t>
  </si>
  <si>
    <t>005-06-01</t>
  </si>
  <si>
    <t>124027</t>
  </si>
  <si>
    <t>AZIZ</t>
  </si>
  <si>
    <t>AHMAR</t>
  </si>
  <si>
    <t>NGUYEN</t>
  </si>
  <si>
    <t>THUY THI HA</t>
  </si>
  <si>
    <t>3 EUSTON ST #1</t>
  </si>
  <si>
    <t>37298-385</t>
  </si>
  <si>
    <t>005-06-02</t>
  </si>
  <si>
    <t>125023</t>
  </si>
  <si>
    <t>GUGLIELMINO</t>
  </si>
  <si>
    <t>PAUL F</t>
  </si>
  <si>
    <t>MINTCHEVA</t>
  </si>
  <si>
    <t>RALISTA</t>
  </si>
  <si>
    <t>3 EUSTON ST #2</t>
  </si>
  <si>
    <t>30272-546</t>
  </si>
  <si>
    <t>005-06-03</t>
  </si>
  <si>
    <t>126019</t>
  </si>
  <si>
    <t>LEE-HOOD</t>
  </si>
  <si>
    <t>ELIZABETH</t>
  </si>
  <si>
    <t>3 EUSTON ST #3</t>
  </si>
  <si>
    <t>28682-61</t>
  </si>
  <si>
    <t>005-06-04</t>
  </si>
  <si>
    <t>127015</t>
  </si>
  <si>
    <t>NOBARI</t>
  </si>
  <si>
    <t>FAEZEH SADEGH</t>
  </si>
  <si>
    <t>72 EUSTON RD #109</t>
  </si>
  <si>
    <t>37885-142</t>
  </si>
  <si>
    <t>005-06-05</t>
  </si>
  <si>
    <t>128011</t>
  </si>
  <si>
    <t>DONG</t>
  </si>
  <si>
    <t>AMY</t>
  </si>
  <si>
    <t>3 EUSTON ST #5</t>
  </si>
  <si>
    <t>35412-212</t>
  </si>
  <si>
    <t>005-06-06</t>
  </si>
  <si>
    <t>123031</t>
  </si>
  <si>
    <t>HE</t>
  </si>
  <si>
    <t>CHUAN</t>
  </si>
  <si>
    <t>1505 HIGH ST</t>
  </si>
  <si>
    <t xml:space="preserve">WESTWOOD </t>
  </si>
  <si>
    <t>02090</t>
  </si>
  <si>
    <t>32629-410</t>
  </si>
  <si>
    <t>005-07-00</t>
  </si>
  <si>
    <t>129007</t>
  </si>
  <si>
    <t>LEW, TRS</t>
  </si>
  <si>
    <t>HONG HUN &amp; CHESTER DEAN</t>
  </si>
  <si>
    <t>5 EUSTON ST</t>
  </si>
  <si>
    <t>10828-209</t>
  </si>
  <si>
    <t>005-08-00</t>
  </si>
  <si>
    <t>130035</t>
  </si>
  <si>
    <t>5963-719</t>
  </si>
  <si>
    <t>005-09-00</t>
  </si>
  <si>
    <t>131031</t>
  </si>
  <si>
    <t>11 EUSTON STREET LLC</t>
  </si>
  <si>
    <t>16 PETRINI CIR</t>
  </si>
  <si>
    <t>02492</t>
  </si>
  <si>
    <t>42232-361</t>
  </si>
  <si>
    <t>005-11-00</t>
  </si>
  <si>
    <t>133023</t>
  </si>
  <si>
    <t>9675-28</t>
  </si>
  <si>
    <t>005-12-00</t>
  </si>
  <si>
    <t>134019</t>
  </si>
  <si>
    <t>1249 BEACON ST SUITE 1</t>
  </si>
  <si>
    <t>36507-44</t>
  </si>
  <si>
    <t>005-14-00</t>
  </si>
  <si>
    <t>136011</t>
  </si>
  <si>
    <t>SCHEMMER</t>
  </si>
  <si>
    <t>JOHN A &amp; ANN B</t>
  </si>
  <si>
    <t>33 EUSTON ST</t>
  </si>
  <si>
    <t>5714-344</t>
  </si>
  <si>
    <t>005-15-00</t>
  </si>
  <si>
    <t>137007</t>
  </si>
  <si>
    <t>131</t>
  </si>
  <si>
    <t>LIEBERMAN</t>
  </si>
  <si>
    <t>EVAN &amp; AMY</t>
  </si>
  <si>
    <t>131 CARLTON ST</t>
  </si>
  <si>
    <t>32073-58</t>
  </si>
  <si>
    <t>006A-02-00</t>
  </si>
  <si>
    <t>130</t>
  </si>
  <si>
    <t>138003</t>
  </si>
  <si>
    <t>170</t>
  </si>
  <si>
    <t>881 COMM AV</t>
  </si>
  <si>
    <t>5613-118</t>
  </si>
  <si>
    <t>006A-03-00</t>
  </si>
  <si>
    <t>139036</t>
  </si>
  <si>
    <t>5336-750</t>
  </si>
  <si>
    <t>006A-04-00</t>
  </si>
  <si>
    <t>140027</t>
  </si>
  <si>
    <t>39</t>
  </si>
  <si>
    <t>5336-748</t>
  </si>
  <si>
    <t>006A-05-00</t>
  </si>
  <si>
    <t>947</t>
  </si>
  <si>
    <t>BUC</t>
  </si>
  <si>
    <t>141023</t>
  </si>
  <si>
    <t>143</t>
  </si>
  <si>
    <t>ESSEX ST</t>
  </si>
  <si>
    <t>11037-215</t>
  </si>
  <si>
    <t>G20</t>
  </si>
  <si>
    <t>007-01-00</t>
  </si>
  <si>
    <t>924</t>
  </si>
  <si>
    <t>99705004</t>
  </si>
  <si>
    <t>COMMONWEALTH AVE</t>
  </si>
  <si>
    <t>COMMONWEALTH OF MASSACHUSETTS</t>
  </si>
  <si>
    <t>C/O MASS TURNPIKE AUTHORITY</t>
  </si>
  <si>
    <t>10 PARK PLAZA SUITE 4160</t>
  </si>
  <si>
    <t>02116</t>
  </si>
  <si>
    <t>3988-84</t>
  </si>
  <si>
    <t>007-05-09</t>
  </si>
  <si>
    <t>093</t>
  </si>
  <si>
    <t>98001114</t>
  </si>
  <si>
    <t>730</t>
  </si>
  <si>
    <t>ONE SILBER WAY</t>
  </si>
  <si>
    <t>37527-108</t>
  </si>
  <si>
    <t>008-01-00</t>
  </si>
  <si>
    <t>943</t>
  </si>
  <si>
    <t>99706000</t>
  </si>
  <si>
    <t>9</t>
  </si>
  <si>
    <t>NEW ENGLAND HEBREW ACADEMY</t>
  </si>
  <si>
    <t>9 PRESCOTT ST</t>
  </si>
  <si>
    <t>008-02-05</t>
  </si>
  <si>
    <t>14677036</t>
  </si>
  <si>
    <t>COLASACCO, TR</t>
  </si>
  <si>
    <t>DOMENIC</t>
  </si>
  <si>
    <t>23 PRESCOTT ST</t>
  </si>
  <si>
    <t>18370-259</t>
  </si>
  <si>
    <t>008-03-00</t>
  </si>
  <si>
    <t>148032</t>
  </si>
  <si>
    <t>35</t>
  </si>
  <si>
    <t>WILLIAMS</t>
  </si>
  <si>
    <t>STEPHEN A &amp; SUSAN H</t>
  </si>
  <si>
    <t>35 PRESCOTT ST</t>
  </si>
  <si>
    <t>6932-265</t>
  </si>
  <si>
    <t>008-03-01</t>
  </si>
  <si>
    <t>149028</t>
  </si>
  <si>
    <t>157</t>
  </si>
  <si>
    <t>LANG TR</t>
  </si>
  <si>
    <t>ELVIRA V</t>
  </si>
  <si>
    <t>157 IVY ST</t>
  </si>
  <si>
    <t>37418-589</t>
  </si>
  <si>
    <t>008-04-00</t>
  </si>
  <si>
    <t>150019</t>
  </si>
  <si>
    <t>165</t>
  </si>
  <si>
    <t>DANE</t>
  </si>
  <si>
    <t>RONNIE</t>
  </si>
  <si>
    <t>299 RIVERSIDE DR #3B</t>
  </si>
  <si>
    <t>10025</t>
  </si>
  <si>
    <t>33553-8</t>
  </si>
  <si>
    <t>008-04-01</t>
  </si>
  <si>
    <t>151015</t>
  </si>
  <si>
    <t>ANDERS</t>
  </si>
  <si>
    <t>RICHARD</t>
  </si>
  <si>
    <t>89 ESSEX ST</t>
  </si>
  <si>
    <t>7366-708</t>
  </si>
  <si>
    <t>009-01-00</t>
  </si>
  <si>
    <t>153007</t>
  </si>
  <si>
    <t>ROH TR</t>
  </si>
  <si>
    <t>SHIYOUNG</t>
  </si>
  <si>
    <t>170 IVY ST</t>
  </si>
  <si>
    <t>26247-584</t>
  </si>
  <si>
    <t>009-02-00</t>
  </si>
  <si>
    <t>154003</t>
  </si>
  <si>
    <t>156</t>
  </si>
  <si>
    <t>MCLOUGHLIN</t>
  </si>
  <si>
    <t>PETER J</t>
  </si>
  <si>
    <t>156 IVY ST</t>
  </si>
  <si>
    <t>37976-579</t>
  </si>
  <si>
    <t>009-03-00</t>
  </si>
  <si>
    <t>930</t>
  </si>
  <si>
    <t>99971006</t>
  </si>
  <si>
    <t>1122</t>
  </si>
  <si>
    <t>TOWN OF BROOKLINE</t>
  </si>
  <si>
    <t>C/O HALLS POND</t>
  </si>
  <si>
    <t>333 WASHINGTON ST</t>
  </si>
  <si>
    <t>99550</t>
  </si>
  <si>
    <t>009-04-05</t>
  </si>
  <si>
    <t>155036</t>
  </si>
  <si>
    <t>26</t>
  </si>
  <si>
    <t>CHILTON ST</t>
  </si>
  <si>
    <t>BAE TRS</t>
  </si>
  <si>
    <t>EUNHAK</t>
  </si>
  <si>
    <t>KWAK TRS</t>
  </si>
  <si>
    <t>ROBERT DANIEL</t>
  </si>
  <si>
    <t>26 CHILTON ST</t>
  </si>
  <si>
    <t>38104-518</t>
  </si>
  <si>
    <t>009-06-00</t>
  </si>
  <si>
    <t>156032</t>
  </si>
  <si>
    <t>MOGHTADER</t>
  </si>
  <si>
    <t>PAUL &amp; SARAH</t>
  </si>
  <si>
    <t>16 CHILTON ST</t>
  </si>
  <si>
    <t>27002-496</t>
  </si>
  <si>
    <t>009-07-00</t>
  </si>
  <si>
    <t>157028</t>
  </si>
  <si>
    <t>KOTLER TR</t>
  </si>
  <si>
    <t>RONNI</t>
  </si>
  <si>
    <t>6 CHILTON ST</t>
  </si>
  <si>
    <t>41161-381</t>
  </si>
  <si>
    <t>009A-01-00</t>
  </si>
  <si>
    <t>158024</t>
  </si>
  <si>
    <t>CHASEN</t>
  </si>
  <si>
    <t>BARBARA Z</t>
  </si>
  <si>
    <t>7 CHILTON ST</t>
  </si>
  <si>
    <t>16728-222</t>
  </si>
  <si>
    <t>009A-02-00</t>
  </si>
  <si>
    <t>159020</t>
  </si>
  <si>
    <t>SANDERS</t>
  </si>
  <si>
    <t>CHARLES H</t>
  </si>
  <si>
    <t>15 CHILTON ST</t>
  </si>
  <si>
    <t>33885-203</t>
  </si>
  <si>
    <t>009A-03-00</t>
  </si>
  <si>
    <t>160011</t>
  </si>
  <si>
    <t>VOLPE TRS</t>
  </si>
  <si>
    <t xml:space="preserve">JOSEPH J &amp; SARA </t>
  </si>
  <si>
    <t>21 CHILTON ST</t>
  </si>
  <si>
    <t>42351-235</t>
  </si>
  <si>
    <t>009A-04-00</t>
  </si>
  <si>
    <t>161007</t>
  </si>
  <si>
    <t>ARNSTEIN</t>
  </si>
  <si>
    <t>DOLPHIA NANDI &amp; MATTHEW</t>
  </si>
  <si>
    <t>27 CHILTON ST</t>
  </si>
  <si>
    <t>40973-226</t>
  </si>
  <si>
    <t>009A-05-00</t>
  </si>
  <si>
    <t>162003</t>
  </si>
  <si>
    <t>98</t>
  </si>
  <si>
    <t>CHAUDHURI</t>
  </si>
  <si>
    <t>AMRIT</t>
  </si>
  <si>
    <t>98 CARLTON ST</t>
  </si>
  <si>
    <t>02336</t>
  </si>
  <si>
    <t>40135-338</t>
  </si>
  <si>
    <t>009A-06-00</t>
  </si>
  <si>
    <t>163036</t>
  </si>
  <si>
    <t>HIGGINS</t>
  </si>
  <si>
    <t>THOMAS T</t>
  </si>
  <si>
    <t>KANE</t>
  </si>
  <si>
    <t>CONSTANCE F</t>
  </si>
  <si>
    <t>90 CARLTON ST</t>
  </si>
  <si>
    <t>13959-232</t>
  </si>
  <si>
    <t>009A-07-00</t>
  </si>
  <si>
    <t>164032</t>
  </si>
  <si>
    <t>82</t>
  </si>
  <si>
    <t>MAZANDI-ISEKE, ET AL</t>
  </si>
  <si>
    <t>RICHARD J</t>
  </si>
  <si>
    <t>82 CARLTON ST</t>
  </si>
  <si>
    <t>7326-351</t>
  </si>
  <si>
    <t>009B-01-00</t>
  </si>
  <si>
    <t>165028</t>
  </si>
  <si>
    <t>CHURCHILL ST</t>
  </si>
  <si>
    <t>CHRISTOPHER, TR</t>
  </si>
  <si>
    <t>SHERRY</t>
  </si>
  <si>
    <t xml:space="preserve">C/O GARRETT OR JESSE CHRISTOPHER </t>
  </si>
  <si>
    <t>1751 MAIN ST # 787</t>
  </si>
  <si>
    <t xml:space="preserve">TEWKSBURY </t>
  </si>
  <si>
    <t>01876</t>
  </si>
  <si>
    <t>20995-121</t>
  </si>
  <si>
    <t>009B-03-00</t>
  </si>
  <si>
    <t>166024</t>
  </si>
  <si>
    <t>RESLER</t>
  </si>
  <si>
    <t>W MICHAEL</t>
  </si>
  <si>
    <t>LUTCAVAGE</t>
  </si>
  <si>
    <t>24 CHURCHILL ST</t>
  </si>
  <si>
    <t>11957-190</t>
  </si>
  <si>
    <t>009B-04-00</t>
  </si>
  <si>
    <t>167020</t>
  </si>
  <si>
    <t>KWAN</t>
  </si>
  <si>
    <t>THEODORE H</t>
  </si>
  <si>
    <t>MOULTON</t>
  </si>
  <si>
    <t>ANDREW S</t>
  </si>
  <si>
    <t>18 CHURCHILL ST</t>
  </si>
  <si>
    <t>41161-596</t>
  </si>
  <si>
    <t>009B-05-00</t>
  </si>
  <si>
    <t>168016</t>
  </si>
  <si>
    <t>DREYER TRS</t>
  </si>
  <si>
    <t xml:space="preserve">JOHN R </t>
  </si>
  <si>
    <t>CUTLER</t>
  </si>
  <si>
    <t xml:space="preserve">JONATHAN D </t>
  </si>
  <si>
    <t>12 CHURCHILL ST</t>
  </si>
  <si>
    <t>36638-452</t>
  </si>
  <si>
    <t>009B-06-00</t>
  </si>
  <si>
    <t>169012</t>
  </si>
  <si>
    <t>WEINER TR</t>
  </si>
  <si>
    <t>HELEN E</t>
  </si>
  <si>
    <t>6 CHURCHILL ST</t>
  </si>
  <si>
    <t>42583 - 77</t>
  </si>
  <si>
    <t>009B-07-01</t>
  </si>
  <si>
    <t>170003</t>
  </si>
  <si>
    <t>1056</t>
  </si>
  <si>
    <t>FUJITA TR</t>
  </si>
  <si>
    <t>ALLAN S</t>
  </si>
  <si>
    <t>1056 BEACON ST # A</t>
  </si>
  <si>
    <t>1431855</t>
  </si>
  <si>
    <t>009B-07-02</t>
  </si>
  <si>
    <t>171036</t>
  </si>
  <si>
    <t>CACACE III</t>
  </si>
  <si>
    <t>JOHN A</t>
  </si>
  <si>
    <t>CACACE</t>
  </si>
  <si>
    <t>KATIE M</t>
  </si>
  <si>
    <t>1735 VT ROUTE 103</t>
  </si>
  <si>
    <t>CUTTINGSVILLE</t>
  </si>
  <si>
    <t>VT</t>
  </si>
  <si>
    <t>05738</t>
  </si>
  <si>
    <t>861240</t>
  </si>
  <si>
    <t>009B-07-03</t>
  </si>
  <si>
    <t>172032</t>
  </si>
  <si>
    <t>FABRIZIO</t>
  </si>
  <si>
    <t>CHARLEEN F &amp; GEORGE N</t>
  </si>
  <si>
    <t>1056 BEACON ST #C</t>
  </si>
  <si>
    <t>1153885</t>
  </si>
  <si>
    <t>009B-07-04</t>
  </si>
  <si>
    <t>173028</t>
  </si>
  <si>
    <t>LIDDELL</t>
  </si>
  <si>
    <t>MATTHEW T</t>
  </si>
  <si>
    <t>1056 BEACON ST #1</t>
  </si>
  <si>
    <t>1479184</t>
  </si>
  <si>
    <t>009B-07-05</t>
  </si>
  <si>
    <t>174024</t>
  </si>
  <si>
    <t>KOS</t>
  </si>
  <si>
    <t>CLAUDINE H</t>
  </si>
  <si>
    <t>1056 BEACON ST #2</t>
  </si>
  <si>
    <t>1037024</t>
  </si>
  <si>
    <t>009B-07-06</t>
  </si>
  <si>
    <t>175020</t>
  </si>
  <si>
    <t>JACOBS</t>
  </si>
  <si>
    <t>ROBERT M</t>
  </si>
  <si>
    <t>1056 BEACON ST #3</t>
  </si>
  <si>
    <t>531387</t>
  </si>
  <si>
    <t>009B-07-07</t>
  </si>
  <si>
    <t>176016</t>
  </si>
  <si>
    <t>FATTMAN</t>
  </si>
  <si>
    <t>KELLY L</t>
  </si>
  <si>
    <t>MURRAY</t>
  </si>
  <si>
    <t>BRENDAN</t>
  </si>
  <si>
    <t>11 CENTRAL TER</t>
  </si>
  <si>
    <t>02466</t>
  </si>
  <si>
    <t>1169380</t>
  </si>
  <si>
    <t>009B-07-08</t>
  </si>
  <si>
    <t>177012</t>
  </si>
  <si>
    <t>5 &amp; P3</t>
  </si>
  <si>
    <t>FANG</t>
  </si>
  <si>
    <t>ZHANG</t>
  </si>
  <si>
    <t>JIAN</t>
  </si>
  <si>
    <t>1056 BEACON ST #5</t>
  </si>
  <si>
    <t>1515280</t>
  </si>
  <si>
    <t>009B-07-09</t>
  </si>
  <si>
    <t>178008</t>
  </si>
  <si>
    <t>6 &amp; P-H</t>
  </si>
  <si>
    <t>BEACON STREET BROOKLINE 1056-6 LLC</t>
  </si>
  <si>
    <t>10 BIRCHWOOD AVE</t>
  </si>
  <si>
    <t>SUDBURY</t>
  </si>
  <si>
    <t>01776</t>
  </si>
  <si>
    <t>1391676</t>
  </si>
  <si>
    <t>009B-07-10</t>
  </si>
  <si>
    <t>179004</t>
  </si>
  <si>
    <t>MCCABE</t>
  </si>
  <si>
    <t>RYAN</t>
  </si>
  <si>
    <t>1056 BEACON ST #7</t>
  </si>
  <si>
    <t>1388804</t>
  </si>
  <si>
    <t>009B-07-11</t>
  </si>
  <si>
    <t>180032</t>
  </si>
  <si>
    <t>DICKINSON</t>
  </si>
  <si>
    <t>KAREN &amp; KATE &amp; JOHN</t>
  </si>
  <si>
    <t>1056 BEACON ST #8</t>
  </si>
  <si>
    <t>1544033</t>
  </si>
  <si>
    <t>009B-07-12</t>
  </si>
  <si>
    <t>181028</t>
  </si>
  <si>
    <t>9 &amp; P12</t>
  </si>
  <si>
    <t>LEE TRS</t>
  </si>
  <si>
    <t>KUO-HSIANG SEAN</t>
  </si>
  <si>
    <t>HSU</t>
  </si>
  <si>
    <t>WEN-CHIEN MARGARET</t>
  </si>
  <si>
    <t>46 HOMER ST</t>
  </si>
  <si>
    <t>02459</t>
  </si>
  <si>
    <t>1433660</t>
  </si>
  <si>
    <t>009B-07-13</t>
  </si>
  <si>
    <t>182024</t>
  </si>
  <si>
    <t>PRASAD</t>
  </si>
  <si>
    <t>BALRAM &amp; PRATIVA</t>
  </si>
  <si>
    <t>9030 SCOTT ST</t>
  </si>
  <si>
    <t>W SPRINGFIELD</t>
  </si>
  <si>
    <t>VA</t>
  </si>
  <si>
    <t>22153-4112</t>
  </si>
  <si>
    <t>440533</t>
  </si>
  <si>
    <t>009B-07-14</t>
  </si>
  <si>
    <t>183020</t>
  </si>
  <si>
    <t>CHEN TR</t>
  </si>
  <si>
    <t>JEAN  YI</t>
  </si>
  <si>
    <t>21 ELMWOOD PARK</t>
  </si>
  <si>
    <t>MALDEN</t>
  </si>
  <si>
    <t>02148</t>
  </si>
  <si>
    <t>1505417</t>
  </si>
  <si>
    <t>009B-07-15</t>
  </si>
  <si>
    <t>184016</t>
  </si>
  <si>
    <t>LUTFI</t>
  </si>
  <si>
    <t>NASSIB</t>
  </si>
  <si>
    <t>1056 BEACON ST #12</t>
  </si>
  <si>
    <t>1393642</t>
  </si>
  <si>
    <t>009B-07-16</t>
  </si>
  <si>
    <t>185012</t>
  </si>
  <si>
    <t>12A &amp; PRK</t>
  </si>
  <si>
    <t>HUANG</t>
  </si>
  <si>
    <t>EMERALD &amp; CYRUS</t>
  </si>
  <si>
    <t>1056 BEACON ST #12A</t>
  </si>
  <si>
    <t>1225273</t>
  </si>
  <si>
    <t>009B-07-17</t>
  </si>
  <si>
    <t>186008</t>
  </si>
  <si>
    <t>14 &amp; P22</t>
  </si>
  <si>
    <t>BASKIN</t>
  </si>
  <si>
    <t>GENNADY &amp; EMMA</t>
  </si>
  <si>
    <t>1600 BOSTON PROVIDENCE HWY #220</t>
  </si>
  <si>
    <t>WALPOLE</t>
  </si>
  <si>
    <t>02081</t>
  </si>
  <si>
    <t>1363831</t>
  </si>
  <si>
    <t>009B-07-18</t>
  </si>
  <si>
    <t>187004</t>
  </si>
  <si>
    <t>EFTEKHARZADEH</t>
  </si>
  <si>
    <t>BAHAREH</t>
  </si>
  <si>
    <t>1056 BEACON ST #15</t>
  </si>
  <si>
    <t>1345422</t>
  </si>
  <si>
    <t>009B-07-19</t>
  </si>
  <si>
    <t>188000</t>
  </si>
  <si>
    <t>ARSENAULT</t>
  </si>
  <si>
    <t>KYLE THOMAS &amp; PETER &amp; KARIN</t>
  </si>
  <si>
    <t>1056 BEACON ST #16</t>
  </si>
  <si>
    <t>1477881</t>
  </si>
  <si>
    <t>009B-07-20</t>
  </si>
  <si>
    <t>189033</t>
  </si>
  <si>
    <t>1060</t>
  </si>
  <si>
    <t>BRILLHART</t>
  </si>
  <si>
    <t>STEVEN RODNEY JR</t>
  </si>
  <si>
    <t>HOGAN</t>
  </si>
  <si>
    <t>CARA ELIZABETH</t>
  </si>
  <si>
    <t>1060 BEACON ST #A</t>
  </si>
  <si>
    <t>1423940</t>
  </si>
  <si>
    <t>009B-07-21</t>
  </si>
  <si>
    <t>190024</t>
  </si>
  <si>
    <t>TANKARD</t>
  </si>
  <si>
    <t>AUDRIA L</t>
  </si>
  <si>
    <t>1060 BEACON ST #B</t>
  </si>
  <si>
    <t>723538</t>
  </si>
  <si>
    <t>009B-07-22</t>
  </si>
  <si>
    <t>191020</t>
  </si>
  <si>
    <t>FEIXUE</t>
  </si>
  <si>
    <t>14 MEIGH RD</t>
  </si>
  <si>
    <t>1548373</t>
  </si>
  <si>
    <t>009B-07-23</t>
  </si>
  <si>
    <t>192016</t>
  </si>
  <si>
    <t>1 &amp; P9</t>
  </si>
  <si>
    <t>WU</t>
  </si>
  <si>
    <t>WESTLEY WENBO</t>
  </si>
  <si>
    <t>PAYNE</t>
  </si>
  <si>
    <t>JASON</t>
  </si>
  <si>
    <t>1060 BEACON ST #1</t>
  </si>
  <si>
    <t>1520019</t>
  </si>
  <si>
    <t>009B-07-24</t>
  </si>
  <si>
    <t>193012</t>
  </si>
  <si>
    <t>2 &amp; P19</t>
  </si>
  <si>
    <t>AHLEMEYER</t>
  </si>
  <si>
    <t>LISA</t>
  </si>
  <si>
    <t>512 HOWARD ST</t>
  </si>
  <si>
    <t>NORTHBOROUGH</t>
  </si>
  <si>
    <t>01532</t>
  </si>
  <si>
    <t>1285455</t>
  </si>
  <si>
    <t>009B-07-25</t>
  </si>
  <si>
    <t>194008</t>
  </si>
  <si>
    <t>KRIZ TR</t>
  </si>
  <si>
    <t>YU LIN</t>
  </si>
  <si>
    <t>13 VILLAGE LN</t>
  </si>
  <si>
    <t>WAYLAND</t>
  </si>
  <si>
    <t>01778</t>
  </si>
  <si>
    <t>1501054</t>
  </si>
  <si>
    <t>009B-07-26</t>
  </si>
  <si>
    <t>195004</t>
  </si>
  <si>
    <t>GRIFFIN TRS</t>
  </si>
  <si>
    <t>PAUL V JR &amp; KEVIN P</t>
  </si>
  <si>
    <t>LUBKER</t>
  </si>
  <si>
    <t>SCOTT O</t>
  </si>
  <si>
    <t>270 MAIN ST</t>
  </si>
  <si>
    <t>MARLBOROUGH</t>
  </si>
  <si>
    <t>01752</t>
  </si>
  <si>
    <t>1182730</t>
  </si>
  <si>
    <t>009B-07-27</t>
  </si>
  <si>
    <t>196000</t>
  </si>
  <si>
    <t>5 &amp; PRK</t>
  </si>
  <si>
    <t>SUI</t>
  </si>
  <si>
    <t>YI</t>
  </si>
  <si>
    <t>JI</t>
  </si>
  <si>
    <t>1060 BEACON ST #5</t>
  </si>
  <si>
    <t>1345947</t>
  </si>
  <si>
    <t>009B-07-28</t>
  </si>
  <si>
    <t>197033</t>
  </si>
  <si>
    <t>6 &amp; PRK</t>
  </si>
  <si>
    <t>FENG &amp; HELENA XUE</t>
  </si>
  <si>
    <t>WENXIA</t>
  </si>
  <si>
    <t>1060 BEACON ST # 6</t>
  </si>
  <si>
    <t>1504110</t>
  </si>
  <si>
    <t>009B-07-29</t>
  </si>
  <si>
    <t>198029</t>
  </si>
  <si>
    <t>WINOGRAD</t>
  </si>
  <si>
    <t xml:space="preserve">DANIEL H </t>
  </si>
  <si>
    <t>FELDSCHER</t>
  </si>
  <si>
    <t>KAREN</t>
  </si>
  <si>
    <t>94 HIGH ST</t>
  </si>
  <si>
    <t xml:space="preserve">NEEDHAM </t>
  </si>
  <si>
    <t>1346379</t>
  </si>
  <si>
    <t>009B-07-30</t>
  </si>
  <si>
    <t>199025</t>
  </si>
  <si>
    <t>BLESS S MATTHEW</t>
  </si>
  <si>
    <t>C/O THRIVE REALY PARTNERS</t>
  </si>
  <si>
    <t>6 LIBERTY SQ #388</t>
  </si>
  <si>
    <t>02109</t>
  </si>
  <si>
    <t>1321858</t>
  </si>
  <si>
    <t>009B-07-31</t>
  </si>
  <si>
    <t>200006</t>
  </si>
  <si>
    <t>9 &amp; PRK</t>
  </si>
  <si>
    <t>PARFITT</t>
  </si>
  <si>
    <t>MATTHEW A</t>
  </si>
  <si>
    <t>WELCH</t>
  </si>
  <si>
    <t>JEFFREY S</t>
  </si>
  <si>
    <t>1060 BEACON ST #9</t>
  </si>
  <si>
    <t>963077</t>
  </si>
  <si>
    <t>009B-07-32</t>
  </si>
  <si>
    <t>201002</t>
  </si>
  <si>
    <t>10 &amp; PRK</t>
  </si>
  <si>
    <t>PELL</t>
  </si>
  <si>
    <t>GABRIEL</t>
  </si>
  <si>
    <t>1060 BEACON ST #10</t>
  </si>
  <si>
    <t>1327642</t>
  </si>
  <si>
    <t>009B-07-33</t>
  </si>
  <si>
    <t>202035</t>
  </si>
  <si>
    <t>11 &amp; P18</t>
  </si>
  <si>
    <t>GUTTENBERG</t>
  </si>
  <si>
    <t>1060 BEACON ST #11</t>
  </si>
  <si>
    <t>1543567</t>
  </si>
  <si>
    <t>009B-07-34</t>
  </si>
  <si>
    <t>203031</t>
  </si>
  <si>
    <t>12 &amp; PRK</t>
  </si>
  <si>
    <t>MORTE, TR</t>
  </si>
  <si>
    <t>STEPHEN G</t>
  </si>
  <si>
    <t>209 GREEN RD</t>
  </si>
  <si>
    <t>BOLTON</t>
  </si>
  <si>
    <t>01740</t>
  </si>
  <si>
    <t>566166</t>
  </si>
  <si>
    <t>009B-07-35</t>
  </si>
  <si>
    <t>204027</t>
  </si>
  <si>
    <t>12A &amp; P17</t>
  </si>
  <si>
    <t>HALL</t>
  </si>
  <si>
    <t>KELLY</t>
  </si>
  <si>
    <t>SOLOMON</t>
  </si>
  <si>
    <t>MATTHEW</t>
  </si>
  <si>
    <t>1060 BEACON ST #12A</t>
  </si>
  <si>
    <t>1365981</t>
  </si>
  <si>
    <t>009B-07-36</t>
  </si>
  <si>
    <t>205023</t>
  </si>
  <si>
    <t>CANCHOLA</t>
  </si>
  <si>
    <t>ANGELA MARIE</t>
  </si>
  <si>
    <t>PHILBIN</t>
  </si>
  <si>
    <t>JOHN</t>
  </si>
  <si>
    <t>ONE COBBLEFIELD LN</t>
  </si>
  <si>
    <t>GUILFORD</t>
  </si>
  <si>
    <t>CT</t>
  </si>
  <si>
    <t>06437</t>
  </si>
  <si>
    <t>847590</t>
  </si>
  <si>
    <t>009B-07-37</t>
  </si>
  <si>
    <t>206019</t>
  </si>
  <si>
    <t>LUCIC</t>
  </si>
  <si>
    <t>KATIA</t>
  </si>
  <si>
    <t>1070 BEACON ST #3D</t>
  </si>
  <si>
    <t>956725</t>
  </si>
  <si>
    <t>009B-07-38</t>
  </si>
  <si>
    <t>207015</t>
  </si>
  <si>
    <t>DIAMOND</t>
  </si>
  <si>
    <t>DANIEL J</t>
  </si>
  <si>
    <t>1060 BEACON ST #16</t>
  </si>
  <si>
    <t>1412422</t>
  </si>
  <si>
    <t>009B-07-39</t>
  </si>
  <si>
    <t>208011</t>
  </si>
  <si>
    <t>1064</t>
  </si>
  <si>
    <t>FORTUNATO TRS</t>
  </si>
  <si>
    <t>ANTHONY J &amp; JENNIFER A</t>
  </si>
  <si>
    <t>101 MOORE RD</t>
  </si>
  <si>
    <t>1548676</t>
  </si>
  <si>
    <t>009B-07-40</t>
  </si>
  <si>
    <t>209007</t>
  </si>
  <si>
    <t>D</t>
  </si>
  <si>
    <t>EINHORN</t>
  </si>
  <si>
    <t>IGNAT</t>
  </si>
  <si>
    <t>65 EVERETT ST # 3</t>
  </si>
  <si>
    <t>ALLSTON</t>
  </si>
  <si>
    <t>02134-0005</t>
  </si>
  <si>
    <t>405371</t>
  </si>
  <si>
    <t>009B-07-41</t>
  </si>
  <si>
    <t>210035</t>
  </si>
  <si>
    <t>1 &amp; PRK</t>
  </si>
  <si>
    <t>TANASIJEVIC TRS</t>
  </si>
  <si>
    <t>MILENKO &amp; OLIVERA</t>
  </si>
  <si>
    <t>205 VALENTINE ST</t>
  </si>
  <si>
    <t>02465</t>
  </si>
  <si>
    <t>1492759</t>
  </si>
  <si>
    <t>009B-07-42</t>
  </si>
  <si>
    <t>211031</t>
  </si>
  <si>
    <t>XIAO TR</t>
  </si>
  <si>
    <t>DAILI</t>
  </si>
  <si>
    <t>200 PARKER ST</t>
  </si>
  <si>
    <t>1344736</t>
  </si>
  <si>
    <t>009B-07-43</t>
  </si>
  <si>
    <t>212027</t>
  </si>
  <si>
    <t>3 &amp; PRK</t>
  </si>
  <si>
    <t>LEW</t>
  </si>
  <si>
    <t>EMILY &amp; HELEN E</t>
  </si>
  <si>
    <t>1064 BEACON ST #3</t>
  </si>
  <si>
    <t>1421512</t>
  </si>
  <si>
    <t>009B-07-44</t>
  </si>
  <si>
    <t>213023</t>
  </si>
  <si>
    <t>4 &amp; P-C</t>
  </si>
  <si>
    <t>OFFICER TR</t>
  </si>
  <si>
    <t>ARLENN J</t>
  </si>
  <si>
    <t>190 BRIDGE ST #2314</t>
  </si>
  <si>
    <t>SALEM</t>
  </si>
  <si>
    <t>01970</t>
  </si>
  <si>
    <t>1503364</t>
  </si>
  <si>
    <t>009B-07-45</t>
  </si>
  <si>
    <t>214019</t>
  </si>
  <si>
    <t>5 &amp; P10</t>
  </si>
  <si>
    <t>VAN DISSEL TR</t>
  </si>
  <si>
    <t>GERALDINE J</t>
  </si>
  <si>
    <t>471 WELLESLEY ST</t>
  </si>
  <si>
    <t>WESTON</t>
  </si>
  <si>
    <t>02493</t>
  </si>
  <si>
    <t>1263404</t>
  </si>
  <si>
    <t>009B-07-46</t>
  </si>
  <si>
    <t>215015</t>
  </si>
  <si>
    <t>TIEWEN</t>
  </si>
  <si>
    <t>1064 BEACON ST #6</t>
  </si>
  <si>
    <t>02446-3948</t>
  </si>
  <si>
    <t>1304093</t>
  </si>
  <si>
    <t>009B-07-47</t>
  </si>
  <si>
    <t>216011</t>
  </si>
  <si>
    <t>LLORENTE</t>
  </si>
  <si>
    <t>1064 BEACON ST #7</t>
  </si>
  <si>
    <t>1550341</t>
  </si>
  <si>
    <t>009B-07-48</t>
  </si>
  <si>
    <t>217007</t>
  </si>
  <si>
    <t>8 &amp; PRK</t>
  </si>
  <si>
    <t>TSANG TRS</t>
  </si>
  <si>
    <t>VIVIAN WING SZE</t>
  </si>
  <si>
    <t>POON</t>
  </si>
  <si>
    <t>MUK FAI CHRISTOPHER</t>
  </si>
  <si>
    <t>46 CHURCHILL RD</t>
  </si>
  <si>
    <t>WESTWOOD</t>
  </si>
  <si>
    <t>1420483</t>
  </si>
  <si>
    <t>009B-07-49</t>
  </si>
  <si>
    <t>218003</t>
  </si>
  <si>
    <t>TROXELL TR</t>
  </si>
  <si>
    <t>28 PILGRIM RD</t>
  </si>
  <si>
    <t>MELROSE</t>
  </si>
  <si>
    <t>02176</t>
  </si>
  <si>
    <t>1549518</t>
  </si>
  <si>
    <t>009B-07-50</t>
  </si>
  <si>
    <t>219036</t>
  </si>
  <si>
    <t>LAWTON</t>
  </si>
  <si>
    <t>JOHN GRANT &amp; BESSIE LEE &amp; RALPH</t>
  </si>
  <si>
    <t>1064 BEACON ST # 10</t>
  </si>
  <si>
    <t>1495722</t>
  </si>
  <si>
    <t>009B-07-51</t>
  </si>
  <si>
    <t>220027</t>
  </si>
  <si>
    <t>STEIN</t>
  </si>
  <si>
    <t>ELLEN S</t>
  </si>
  <si>
    <t>1064 BEACON ST #11</t>
  </si>
  <si>
    <t>407877</t>
  </si>
  <si>
    <t>009B-07-52</t>
  </si>
  <si>
    <t>221023</t>
  </si>
  <si>
    <t>AMANDA ROSE</t>
  </si>
  <si>
    <t>1064 BEACON ST # 12</t>
  </si>
  <si>
    <t>1483885</t>
  </si>
  <si>
    <t>009B-07-53</t>
  </si>
  <si>
    <t>222019</t>
  </si>
  <si>
    <t>12A</t>
  </si>
  <si>
    <t>SUN</t>
  </si>
  <si>
    <t>DYANNA</t>
  </si>
  <si>
    <t>YUNG</t>
  </si>
  <si>
    <t>RICKY</t>
  </si>
  <si>
    <t>1064 BEACON ST #12A</t>
  </si>
  <si>
    <t>1365408</t>
  </si>
  <si>
    <t>009B-07-54</t>
  </si>
  <si>
    <t>223015</t>
  </si>
  <si>
    <t>14 &amp; PRK</t>
  </si>
  <si>
    <t>PICARIELLO TRS</t>
  </si>
  <si>
    <t>JOYCE ANN &amp; MICHAEL</t>
  </si>
  <si>
    <t>30 POINT ISABELLA RD</t>
  </si>
  <si>
    <t>COTUIT</t>
  </si>
  <si>
    <t>02635</t>
  </si>
  <si>
    <t>1535962</t>
  </si>
  <si>
    <t>009B-07-55</t>
  </si>
  <si>
    <t>224011</t>
  </si>
  <si>
    <t>GLASER</t>
  </si>
  <si>
    <t>LOREN</t>
  </si>
  <si>
    <t>1064 BEACON ST #15</t>
  </si>
  <si>
    <t>1512098</t>
  </si>
  <si>
    <t>009B-07-56</t>
  </si>
  <si>
    <t>225007</t>
  </si>
  <si>
    <t>16 &amp; PRK</t>
  </si>
  <si>
    <t>KAMAL TRS</t>
  </si>
  <si>
    <t>PANKAJ &amp; SONIA</t>
  </si>
  <si>
    <t>1064 BEACON ST #16</t>
  </si>
  <si>
    <t>1494935</t>
  </si>
  <si>
    <t>009B-07-57</t>
  </si>
  <si>
    <t>226003</t>
  </si>
  <si>
    <t>BEACON GATE CONDO ASSOCIATION</t>
  </si>
  <si>
    <t>C/O CERTIFIED PROPERTY MGMT</t>
  </si>
  <si>
    <t>1195 BEACON ST</t>
  </si>
  <si>
    <t>434324</t>
  </si>
  <si>
    <t>009B-07-58</t>
  </si>
  <si>
    <t>227036</t>
  </si>
  <si>
    <t>009B-09-00</t>
  </si>
  <si>
    <t>228032</t>
  </si>
  <si>
    <t>1070</t>
  </si>
  <si>
    <t>TEN SEVENTY TENANTS HOUSING CO</t>
  </si>
  <si>
    <t>C/O JENNIFER PORTER</t>
  </si>
  <si>
    <t>1070 BEACON ST  #6B</t>
  </si>
  <si>
    <t>5900-529</t>
  </si>
  <si>
    <t>009B-10-01</t>
  </si>
  <si>
    <t>230019</t>
  </si>
  <si>
    <t>1080</t>
  </si>
  <si>
    <t>G2B2</t>
  </si>
  <si>
    <t>MORAES</t>
  </si>
  <si>
    <t>DANIEL R &amp; MARIA GABRIELLA BONFIM</t>
  </si>
  <si>
    <t>1080 BEACON ST #G2-B2</t>
  </si>
  <si>
    <t>39665-482</t>
  </si>
  <si>
    <t>009B-10-02</t>
  </si>
  <si>
    <t>231015</t>
  </si>
  <si>
    <t>G3B3</t>
  </si>
  <si>
    <t>ARGILAGOS</t>
  </si>
  <si>
    <t>BRUETT</t>
  </si>
  <si>
    <t>LINDA</t>
  </si>
  <si>
    <t>26 ALFRETON RD</t>
  </si>
  <si>
    <t>40161-105</t>
  </si>
  <si>
    <t>009B-10-03</t>
  </si>
  <si>
    <t>232011</t>
  </si>
  <si>
    <t>HASELWANDTER TR</t>
  </si>
  <si>
    <t>ELIZABETH M</t>
  </si>
  <si>
    <t>1080 BEACON ST #1A</t>
  </si>
  <si>
    <t>41816-21</t>
  </si>
  <si>
    <t>009B-10-04</t>
  </si>
  <si>
    <t>233007</t>
  </si>
  <si>
    <t>1B</t>
  </si>
  <si>
    <t>OMARY</t>
  </si>
  <si>
    <t>BISHR</t>
  </si>
  <si>
    <t>1080 BEACON ST #1B</t>
  </si>
  <si>
    <t>38417-548</t>
  </si>
  <si>
    <t>009B-10-05</t>
  </si>
  <si>
    <t>234003</t>
  </si>
  <si>
    <t>1C</t>
  </si>
  <si>
    <t>DEVANEY</t>
  </si>
  <si>
    <t>KEVIN J</t>
  </si>
  <si>
    <t>1080 BEACON ST #1C</t>
  </si>
  <si>
    <t>12660-370</t>
  </si>
  <si>
    <t>009B-10-06</t>
  </si>
  <si>
    <t>235036</t>
  </si>
  <si>
    <t>1D</t>
  </si>
  <si>
    <t>SHEN</t>
  </si>
  <si>
    <t>RUOBING</t>
  </si>
  <si>
    <t>1080 BEACON ST #1D</t>
  </si>
  <si>
    <t>39454-249</t>
  </si>
  <si>
    <t>009B-10-07</t>
  </si>
  <si>
    <t>236032</t>
  </si>
  <si>
    <t>2A</t>
  </si>
  <si>
    <t>HU TRS</t>
  </si>
  <si>
    <t xml:space="preserve">XUEQIN </t>
  </si>
  <si>
    <t>1080 BEACON ST #2A</t>
  </si>
  <si>
    <t>39802-467</t>
  </si>
  <si>
    <t>009B-10-08</t>
  </si>
  <si>
    <t>237028</t>
  </si>
  <si>
    <t>2B</t>
  </si>
  <si>
    <t>AMY &amp; WEI</t>
  </si>
  <si>
    <t>LU</t>
  </si>
  <si>
    <t>TONGJUN</t>
  </si>
  <si>
    <t>1080 BEACON ST #2B</t>
  </si>
  <si>
    <t>41233-5</t>
  </si>
  <si>
    <t>009B-10-09</t>
  </si>
  <si>
    <t>238024</t>
  </si>
  <si>
    <t>2C</t>
  </si>
  <si>
    <t>PING N</t>
  </si>
  <si>
    <t>XU</t>
  </si>
  <si>
    <t>AMY JIA</t>
  </si>
  <si>
    <t>6445 HUNTSMEN DR</t>
  </si>
  <si>
    <t>HARRISBURG</t>
  </si>
  <si>
    <t>PA</t>
  </si>
  <si>
    <t>17111</t>
  </si>
  <si>
    <t>31560-74</t>
  </si>
  <si>
    <t>009B-10-10</t>
  </si>
  <si>
    <t>239020</t>
  </si>
  <si>
    <t>2D</t>
  </si>
  <si>
    <t>NELSON</t>
  </si>
  <si>
    <t>TERESA E</t>
  </si>
  <si>
    <t>STERN</t>
  </si>
  <si>
    <t>DIANE S</t>
  </si>
  <si>
    <t>1080 BEACON ST #2D</t>
  </si>
  <si>
    <t>41044-475</t>
  </si>
  <si>
    <t>009B-10-11</t>
  </si>
  <si>
    <t>240011</t>
  </si>
  <si>
    <t>3A</t>
  </si>
  <si>
    <t>CARDOZO</t>
  </si>
  <si>
    <t>MARIO G &amp; CECILIA E B</t>
  </si>
  <si>
    <t>579 MIRAMAR AVE</t>
  </si>
  <si>
    <t>SAN FRANCISCO</t>
  </si>
  <si>
    <t>CA</t>
  </si>
  <si>
    <t>94112</t>
  </si>
  <si>
    <t>25011-228</t>
  </si>
  <si>
    <t>009B-10-12</t>
  </si>
  <si>
    <t>241007</t>
  </si>
  <si>
    <t>3B</t>
  </si>
  <si>
    <t>ANGHELESCU</t>
  </si>
  <si>
    <t>DORALINA</t>
  </si>
  <si>
    <t>1586 HOLLY HILL DR</t>
  </si>
  <si>
    <t>GERMANTOWN</t>
  </si>
  <si>
    <t>TN</t>
  </si>
  <si>
    <t>38138</t>
  </si>
  <si>
    <t>25557-135</t>
  </si>
  <si>
    <t>009B-10-13</t>
  </si>
  <si>
    <t>242003</t>
  </si>
  <si>
    <t>3C</t>
  </si>
  <si>
    <t>BAJIC</t>
  </si>
  <si>
    <t>SIBINKA</t>
  </si>
  <si>
    <t>201 ST PAUL ST #1</t>
  </si>
  <si>
    <t>29362-226</t>
  </si>
  <si>
    <t>009B-10-14</t>
  </si>
  <si>
    <t>243036</t>
  </si>
  <si>
    <t>3D</t>
  </si>
  <si>
    <t>NOIMAN</t>
  </si>
  <si>
    <t>LIRON</t>
  </si>
  <si>
    <t>1080 BEACON ST #3D</t>
  </si>
  <si>
    <t>39786-342</t>
  </si>
  <si>
    <t>009B-10-15</t>
  </si>
  <si>
    <t>244032</t>
  </si>
  <si>
    <t>3E</t>
  </si>
  <si>
    <t>LEVITT</t>
  </si>
  <si>
    <t>RACHEL</t>
  </si>
  <si>
    <t>1080 BEACON ST #3E</t>
  </si>
  <si>
    <t>26659-300</t>
  </si>
  <si>
    <t>009B-10-16</t>
  </si>
  <si>
    <t>245028</t>
  </si>
  <si>
    <t>4A</t>
  </si>
  <si>
    <t>BENADE</t>
  </si>
  <si>
    <t>JOHANNES GERHARDUS &amp; MARIET</t>
  </si>
  <si>
    <t>1080 BEACON ST #4A</t>
  </si>
  <si>
    <t>39742-157</t>
  </si>
  <si>
    <t>009B-10-17</t>
  </si>
  <si>
    <t>246024</t>
  </si>
  <si>
    <t>4B</t>
  </si>
  <si>
    <t>NATHAN</t>
  </si>
  <si>
    <t>LUCAS</t>
  </si>
  <si>
    <t>TARANTAL</t>
  </si>
  <si>
    <t>ERIKA V</t>
  </si>
  <si>
    <t>1080 BEACON ST #4B</t>
  </si>
  <si>
    <t>33398-282</t>
  </si>
  <si>
    <t>009B-10-18</t>
  </si>
  <si>
    <t>247020</t>
  </si>
  <si>
    <t>4C</t>
  </si>
  <si>
    <t>WALKER</t>
  </si>
  <si>
    <t>DAVID A &amp; MADELINE ELISABETH</t>
  </si>
  <si>
    <t>1080 BEACON ST #4C</t>
  </si>
  <si>
    <t>38337-489</t>
  </si>
  <si>
    <t>009B-10-19</t>
  </si>
  <si>
    <t>248016</t>
  </si>
  <si>
    <t>4D</t>
  </si>
  <si>
    <t>OTTEN</t>
  </si>
  <si>
    <t>CYNTHIA</t>
  </si>
  <si>
    <t>34 ST ANTHONYS LN</t>
  </si>
  <si>
    <t>GLOUCESTER</t>
  </si>
  <si>
    <t>01930</t>
  </si>
  <si>
    <t>8964-466</t>
  </si>
  <si>
    <t>009B-10-20</t>
  </si>
  <si>
    <t>249012</t>
  </si>
  <si>
    <t>4E</t>
  </si>
  <si>
    <t>LEIKHIM</t>
  </si>
  <si>
    <t>1080 BEACON ST #4E</t>
  </si>
  <si>
    <t>10497-722</t>
  </si>
  <si>
    <t>009B-10-21</t>
  </si>
  <si>
    <t>250003</t>
  </si>
  <si>
    <t>5A</t>
  </si>
  <si>
    <t>SCHORGE</t>
  </si>
  <si>
    <t>JOHN O</t>
  </si>
  <si>
    <t>1080 BEACON ST #5A</t>
  </si>
  <si>
    <t>37925-424</t>
  </si>
  <si>
    <t>009B-10-22</t>
  </si>
  <si>
    <t>251036</t>
  </si>
  <si>
    <t>5B</t>
  </si>
  <si>
    <t>TEMPERO</t>
  </si>
  <si>
    <t>JAMES L &amp; EILEEN M</t>
  </si>
  <si>
    <t>1080 BEACON ST #5B</t>
  </si>
  <si>
    <t>17352-312</t>
  </si>
  <si>
    <t>009B-10-23</t>
  </si>
  <si>
    <t>252032</t>
  </si>
  <si>
    <t>5C</t>
  </si>
  <si>
    <t>CHANG TRS</t>
  </si>
  <si>
    <t>DAVID &amp; ROBERT &amp; MICHAEL</t>
  </si>
  <si>
    <t>2424 MILANO PLACE</t>
  </si>
  <si>
    <t xml:space="preserve">LEXINGTON </t>
  </si>
  <si>
    <t>KY</t>
  </si>
  <si>
    <t>40509</t>
  </si>
  <si>
    <t>41848-393</t>
  </si>
  <si>
    <t>009B-10-24</t>
  </si>
  <si>
    <t>253028</t>
  </si>
  <si>
    <t>5D</t>
  </si>
  <si>
    <t>CHU</t>
  </si>
  <si>
    <t>CAROL</t>
  </si>
  <si>
    <t>1080 BEACON ST #5D</t>
  </si>
  <si>
    <t>42398 - 327</t>
  </si>
  <si>
    <t>009B-10-25</t>
  </si>
  <si>
    <t>254024</t>
  </si>
  <si>
    <t>5E</t>
  </si>
  <si>
    <t>DEQUEANT</t>
  </si>
  <si>
    <t>MARY-LEE</t>
  </si>
  <si>
    <t>1080 BEACON ST #5E</t>
  </si>
  <si>
    <t>40976-69</t>
  </si>
  <si>
    <t>009B-10-26</t>
  </si>
  <si>
    <t>255020</t>
  </si>
  <si>
    <t>6A</t>
  </si>
  <si>
    <t>LYONS TR</t>
  </si>
  <si>
    <t>JOHN J</t>
  </si>
  <si>
    <t>1080 BEACON ST #6A</t>
  </si>
  <si>
    <t>42715 - 497</t>
  </si>
  <si>
    <t>009B-10-27</t>
  </si>
  <si>
    <t>256016</t>
  </si>
  <si>
    <t>6B</t>
  </si>
  <si>
    <t>NICOLA &amp; GEOFFREY</t>
  </si>
  <si>
    <t>1080 BEACON ST # 6B</t>
  </si>
  <si>
    <t>40381-205</t>
  </si>
  <si>
    <t>009B-10-28</t>
  </si>
  <si>
    <t>257012</t>
  </si>
  <si>
    <t>6C</t>
  </si>
  <si>
    <t>009B-10-29</t>
  </si>
  <si>
    <t>258008</t>
  </si>
  <si>
    <t>6D</t>
  </si>
  <si>
    <t>WALSH STEVENSON</t>
  </si>
  <si>
    <t>CHERYL</t>
  </si>
  <si>
    <t>1080 BEACON ST #6D</t>
  </si>
  <si>
    <t>33651-155</t>
  </si>
  <si>
    <t>009B-10-30</t>
  </si>
  <si>
    <t>229028</t>
  </si>
  <si>
    <t>G1B1</t>
  </si>
  <si>
    <t>FELLING</t>
  </si>
  <si>
    <t>WILLIAM D</t>
  </si>
  <si>
    <t>C/O CAPITOL REALTY GROUP</t>
  </si>
  <si>
    <t>80 CHARLES ST</t>
  </si>
  <si>
    <t>02114</t>
  </si>
  <si>
    <t>6548-237</t>
  </si>
  <si>
    <t>009B-11-00</t>
  </si>
  <si>
    <t>259004</t>
  </si>
  <si>
    <t>1090</t>
  </si>
  <si>
    <t>AMORY GARDENS REALTY LLC</t>
  </si>
  <si>
    <t>C/O GARRETT AND JESSE CHRISTOPHER</t>
  </si>
  <si>
    <t>TEWKSBURY</t>
  </si>
  <si>
    <t>31645-255</t>
  </si>
  <si>
    <t>009B-12-00</t>
  </si>
  <si>
    <t>260032</t>
  </si>
  <si>
    <t>1100</t>
  </si>
  <si>
    <t>009B-13-00</t>
  </si>
  <si>
    <t>261028</t>
  </si>
  <si>
    <t>1110</t>
  </si>
  <si>
    <t>1110-1120 BEACON STREET LLC</t>
  </si>
  <si>
    <t>C/O DANNIN MANAGEMENT CORP</t>
  </si>
  <si>
    <t>P O BOX 117</t>
  </si>
  <si>
    <t>12187-490</t>
  </si>
  <si>
    <t>009B-14-00</t>
  </si>
  <si>
    <t>262024</t>
  </si>
  <si>
    <t>1120</t>
  </si>
  <si>
    <t>010-01-01</t>
  </si>
  <si>
    <t>305</t>
  </si>
  <si>
    <t>264016</t>
  </si>
  <si>
    <t>1128</t>
  </si>
  <si>
    <t>HAGOPIAN TRS</t>
  </si>
  <si>
    <t>RAHEL T</t>
  </si>
  <si>
    <t>SARKISSIAN</t>
  </si>
  <si>
    <t>RAFFI DER</t>
  </si>
  <si>
    <t>1128 BEACON ST</t>
  </si>
  <si>
    <t>27492-480</t>
  </si>
  <si>
    <t>010-01-02</t>
  </si>
  <si>
    <t>98002110</t>
  </si>
  <si>
    <t>1126</t>
  </si>
  <si>
    <t>HERMAN</t>
  </si>
  <si>
    <t>MYRON S &amp; HELEN YOMTOV</t>
  </si>
  <si>
    <t>1126 BEACON ST #1</t>
  </si>
  <si>
    <t>23974-107</t>
  </si>
  <si>
    <t>010-01-03</t>
  </si>
  <si>
    <t>98003106</t>
  </si>
  <si>
    <t>2 &amp; P1-2</t>
  </si>
  <si>
    <t>SWARTZ</t>
  </si>
  <si>
    <t>DOUGLAS A &amp; KIMBERLY A</t>
  </si>
  <si>
    <t>1126 BEACON ST #2</t>
  </si>
  <si>
    <t>11807-74</t>
  </si>
  <si>
    <t>010-01-04</t>
  </si>
  <si>
    <t>172</t>
  </si>
  <si>
    <t>98004102</t>
  </si>
  <si>
    <t>P3</t>
  </si>
  <si>
    <t>37925-427</t>
  </si>
  <si>
    <t>010-01-05</t>
  </si>
  <si>
    <t>20000119</t>
  </si>
  <si>
    <t>P4</t>
  </si>
  <si>
    <t>1080 BEACON ST # 5B</t>
  </si>
  <si>
    <t>010-01-06</t>
  </si>
  <si>
    <t>20001115</t>
  </si>
  <si>
    <t>P5</t>
  </si>
  <si>
    <t>1080 BEACON ST # 1A</t>
  </si>
  <si>
    <t>41961-544</t>
  </si>
  <si>
    <t>010-05-00</t>
  </si>
  <si>
    <t>99707033</t>
  </si>
  <si>
    <t>AMORY ST</t>
  </si>
  <si>
    <t>C/O AMORY PLAYGROUND</t>
  </si>
  <si>
    <t>955-236</t>
  </si>
  <si>
    <t>011-01-05</t>
  </si>
  <si>
    <t>20143133</t>
  </si>
  <si>
    <t>1170</t>
  </si>
  <si>
    <t>OFFICE</t>
  </si>
  <si>
    <t>BROOKLINE PROPERTY  MANAGEMENT</t>
  </si>
  <si>
    <t>GROUP LLC TR</t>
  </si>
  <si>
    <t>4 HOLMES RD</t>
  </si>
  <si>
    <t>LEXINGTON</t>
  </si>
  <si>
    <t>02420</t>
  </si>
  <si>
    <t>28466-329</t>
  </si>
  <si>
    <t>011-01-06</t>
  </si>
  <si>
    <t>20144129</t>
  </si>
  <si>
    <t>1160</t>
  </si>
  <si>
    <t>101 &amp; 4 PK</t>
  </si>
  <si>
    <t>MODIGLIANI</t>
  </si>
  <si>
    <t>SERGIO &amp; SUZANNE</t>
  </si>
  <si>
    <t>1160 BEACON ST #101</t>
  </si>
  <si>
    <t>32094-514</t>
  </si>
  <si>
    <t>011-01-07</t>
  </si>
  <si>
    <t>20145125</t>
  </si>
  <si>
    <t>102&amp;G18&amp;24</t>
  </si>
  <si>
    <t>ROSENTHAL TR</t>
  </si>
  <si>
    <t>STEVEN P</t>
  </si>
  <si>
    <t>C/O NORTHERN TRUST ATTN SHARON COHEN</t>
  </si>
  <si>
    <t>125 SUMMER ST STE 1400</t>
  </si>
  <si>
    <t>02110</t>
  </si>
  <si>
    <t>30106-522</t>
  </si>
  <si>
    <t>011-01-08</t>
  </si>
  <si>
    <t>20154121</t>
  </si>
  <si>
    <t>103 P3&amp;12</t>
  </si>
  <si>
    <t>CHINMAN, TRS</t>
  </si>
  <si>
    <t xml:space="preserve">RICHARD A </t>
  </si>
  <si>
    <t>1160 BEACON ST #103</t>
  </si>
  <si>
    <t>16977-551</t>
  </si>
  <si>
    <t>011-01-09</t>
  </si>
  <si>
    <t>20241125</t>
  </si>
  <si>
    <t>104 P7&amp;17</t>
  </si>
  <si>
    <t>LIPSETT</t>
  </si>
  <si>
    <t>DEBORAH &amp; BARRY</t>
  </si>
  <si>
    <t>1160 BEACON ST #104</t>
  </si>
  <si>
    <t>41436-325</t>
  </si>
  <si>
    <t>011-01-10</t>
  </si>
  <si>
    <t>20315117</t>
  </si>
  <si>
    <t>201 P5-25</t>
  </si>
  <si>
    <t>GROSSMAN TRS</t>
  </si>
  <si>
    <t>AMY &amp; MARY ELLEN</t>
  </si>
  <si>
    <t>1160 BEACON ST #201</t>
  </si>
  <si>
    <t>32623-238</t>
  </si>
  <si>
    <t>011-01-11</t>
  </si>
  <si>
    <t>20316113</t>
  </si>
  <si>
    <t>202 &amp; P15</t>
  </si>
  <si>
    <t>HAGOPIAN</t>
  </si>
  <si>
    <t>FRANCES</t>
  </si>
  <si>
    <t>MESSINA</t>
  </si>
  <si>
    <t>ANTHONY</t>
  </si>
  <si>
    <t>1160 BEACON ST #202</t>
  </si>
  <si>
    <t>42155-292</t>
  </si>
  <si>
    <t>011-01-12</t>
  </si>
  <si>
    <t>20317109</t>
  </si>
  <si>
    <t>203 &amp; P2</t>
  </si>
  <si>
    <t>SOKOLOFF TRS</t>
  </si>
  <si>
    <t>MIRIAM K &amp; JEFFREY B</t>
  </si>
  <si>
    <t>1160 BEACON ST #203</t>
  </si>
  <si>
    <t>42587 - 256</t>
  </si>
  <si>
    <t>011-01-13</t>
  </si>
  <si>
    <t>20318105</t>
  </si>
  <si>
    <t>204 &amp; P19</t>
  </si>
  <si>
    <t>ASSARAT</t>
  </si>
  <si>
    <t>VICHAI &amp; KETANA</t>
  </si>
  <si>
    <t>1160 BEACON ST #204</t>
  </si>
  <si>
    <t>14291-521</t>
  </si>
  <si>
    <t>011-01-14</t>
  </si>
  <si>
    <t>20319101</t>
  </si>
  <si>
    <t>205 &amp; P14</t>
  </si>
  <si>
    <t>HARMONY AMORY LLC</t>
  </si>
  <si>
    <t>1160 BEACON ST #205</t>
  </si>
  <si>
    <t>41524-87</t>
  </si>
  <si>
    <t>011-01-15</t>
  </si>
  <si>
    <t>20320129</t>
  </si>
  <si>
    <t>301 P21&amp;22</t>
  </si>
  <si>
    <t>FREISHTAT TRS</t>
  </si>
  <si>
    <t>HARVEY &amp; BRENDA</t>
  </si>
  <si>
    <t>1160 BEACON ST #301</t>
  </si>
  <si>
    <t>38816-447</t>
  </si>
  <si>
    <t>011-01-16</t>
  </si>
  <si>
    <t>20321125</t>
  </si>
  <si>
    <t>302 &amp; P4</t>
  </si>
  <si>
    <t>GITTINGER</t>
  </si>
  <si>
    <t>DIANE F</t>
  </si>
  <si>
    <t>1160 BEACON ST  #302</t>
  </si>
  <si>
    <t>26286-418</t>
  </si>
  <si>
    <t>011-01-17</t>
  </si>
  <si>
    <t>20322121</t>
  </si>
  <si>
    <t>303 G6&amp;13</t>
  </si>
  <si>
    <t>CAPLAN TR</t>
  </si>
  <si>
    <t>BRENDA F</t>
  </si>
  <si>
    <t>1160 BEACON ST #303</t>
  </si>
  <si>
    <t>35024-54</t>
  </si>
  <si>
    <t>011-01-18</t>
  </si>
  <si>
    <t>20323117</t>
  </si>
  <si>
    <t>304 P20&amp;23</t>
  </si>
  <si>
    <t>NEMZOFF BERMAN TR</t>
  </si>
  <si>
    <t xml:space="preserve">RUTH E </t>
  </si>
  <si>
    <t>1160 BEACON ST #304</t>
  </si>
  <si>
    <t>27544-462</t>
  </si>
  <si>
    <t>011-01-19</t>
  </si>
  <si>
    <t>20324113</t>
  </si>
  <si>
    <t>PHA P10&amp;11</t>
  </si>
  <si>
    <t>BENSON TR</t>
  </si>
  <si>
    <t>MARILYN W</t>
  </si>
  <si>
    <t>1160 BEACON ST #PHA</t>
  </si>
  <si>
    <t>41526-117</t>
  </si>
  <si>
    <t>011-01-20</t>
  </si>
  <si>
    <t>20325109</t>
  </si>
  <si>
    <t>PHB P8&amp;9</t>
  </si>
  <si>
    <t>UNGERLEIDER</t>
  </si>
  <si>
    <t>JEANE</t>
  </si>
  <si>
    <t>1160 BEACON ST #PHB</t>
  </si>
  <si>
    <t>41181-127</t>
  </si>
  <si>
    <t>011-05-00</t>
  </si>
  <si>
    <t>272016</t>
  </si>
  <si>
    <t>POWELL ST</t>
  </si>
  <si>
    <t>LIVINGSTON</t>
  </si>
  <si>
    <t>DAVID M</t>
  </si>
  <si>
    <t>RABB</t>
  </si>
  <si>
    <t>EMILY</t>
  </si>
  <si>
    <t>11 POWELL ST</t>
  </si>
  <si>
    <t>8304-510</t>
  </si>
  <si>
    <t>SC7</t>
  </si>
  <si>
    <t>011-06-00</t>
  </si>
  <si>
    <t>273012</t>
  </si>
  <si>
    <t>WOLRAICH</t>
  </si>
  <si>
    <t>DAVID A</t>
  </si>
  <si>
    <t>WEINRIB</t>
  </si>
  <si>
    <t>LAURA MAE</t>
  </si>
  <si>
    <t>19 POWELL ST</t>
  </si>
  <si>
    <t>36974-48</t>
  </si>
  <si>
    <t>011-07-00</t>
  </si>
  <si>
    <t>274008</t>
  </si>
  <si>
    <t>D ARBELOFF</t>
  </si>
  <si>
    <t>LAVIN</t>
  </si>
  <si>
    <t>CLAUDIA</t>
  </si>
  <si>
    <t>29 POWELL ST</t>
  </si>
  <si>
    <t>31979-501</t>
  </si>
  <si>
    <t>011-08-00</t>
  </si>
  <si>
    <t>275004</t>
  </si>
  <si>
    <t>KANAREK TRS</t>
  </si>
  <si>
    <t>DAVID J &amp; ANNA C</t>
  </si>
  <si>
    <t>33 POWELL ST</t>
  </si>
  <si>
    <t>35609-258</t>
  </si>
  <si>
    <t>011-09-00</t>
  </si>
  <si>
    <t>276000</t>
  </si>
  <si>
    <t>NOYES</t>
  </si>
  <si>
    <t xml:space="preserve">FREDERICK </t>
  </si>
  <si>
    <t>41 POWELL ST</t>
  </si>
  <si>
    <t>32866-419</t>
  </si>
  <si>
    <t>011-10-00</t>
  </si>
  <si>
    <t>277033</t>
  </si>
  <si>
    <t>45</t>
  </si>
  <si>
    <t>SUSAN J</t>
  </si>
  <si>
    <t>45 POWELL ST</t>
  </si>
  <si>
    <t>35072-261</t>
  </si>
  <si>
    <t>011-11-00</t>
  </si>
  <si>
    <t>278029</t>
  </si>
  <si>
    <t>53</t>
  </si>
  <si>
    <t>PARAFESTAS TR</t>
  </si>
  <si>
    <t>ANASTASIOS</t>
  </si>
  <si>
    <t>1 JOY ST</t>
  </si>
  <si>
    <t>02108</t>
  </si>
  <si>
    <t>38760-168</t>
  </si>
  <si>
    <t>011-12-00</t>
  </si>
  <si>
    <t>279025</t>
  </si>
  <si>
    <t>63</t>
  </si>
  <si>
    <t>FEINSTEIN</t>
  </si>
  <si>
    <t xml:space="preserve">STEVEN </t>
  </si>
  <si>
    <t>63 POWELL ST</t>
  </si>
  <si>
    <t>33300-196</t>
  </si>
  <si>
    <t>011-13-00</t>
  </si>
  <si>
    <t>280016</t>
  </si>
  <si>
    <t>DHANDA TRS</t>
  </si>
  <si>
    <t>RAJ K &amp; NEENA G</t>
  </si>
  <si>
    <t>67 POWELL ST</t>
  </si>
  <si>
    <t>35021-68</t>
  </si>
  <si>
    <t>011-14-00</t>
  </si>
  <si>
    <t>281012</t>
  </si>
  <si>
    <t>011-15-00</t>
  </si>
  <si>
    <t>282008</t>
  </si>
  <si>
    <t>81</t>
  </si>
  <si>
    <t>011-16-00</t>
  </si>
  <si>
    <t>283004</t>
  </si>
  <si>
    <t>74</t>
  </si>
  <si>
    <t>PATTON</t>
  </si>
  <si>
    <t>WILLIAM L &amp; LESLIE A</t>
  </si>
  <si>
    <t>74 AMORY ST</t>
  </si>
  <si>
    <t>20229-130</t>
  </si>
  <si>
    <t>011-17-00</t>
  </si>
  <si>
    <t>284000</t>
  </si>
  <si>
    <t>68</t>
  </si>
  <si>
    <t>JURAYJ</t>
  </si>
  <si>
    <t>DANIEL H</t>
  </si>
  <si>
    <t>SILBAUGH</t>
  </si>
  <si>
    <t>KATHARINE</t>
  </si>
  <si>
    <t>68 AMORY ST</t>
  </si>
  <si>
    <t>14432-444</t>
  </si>
  <si>
    <t>011-18-00</t>
  </si>
  <si>
    <t>285033</t>
  </si>
  <si>
    <t>64</t>
  </si>
  <si>
    <t>BERGIN</t>
  </si>
  <si>
    <t>RICHARD JEFFREY</t>
  </si>
  <si>
    <t>INGRAHAM</t>
  </si>
  <si>
    <t>KATHERINE ANNE</t>
  </si>
  <si>
    <t>64 AMORY ST</t>
  </si>
  <si>
    <t>30802-114</t>
  </si>
  <si>
    <t>011-19-00</t>
  </si>
  <si>
    <t>286029</t>
  </si>
  <si>
    <t>60</t>
  </si>
  <si>
    <t>MARTEL</t>
  </si>
  <si>
    <t>DAVID A  &amp; CYDNEY F</t>
  </si>
  <si>
    <t>60 AMORY ST</t>
  </si>
  <si>
    <t>28202-178</t>
  </si>
  <si>
    <t>011-20-00</t>
  </si>
  <si>
    <t>287025</t>
  </si>
  <si>
    <t>50</t>
  </si>
  <si>
    <t>ZARREN</t>
  </si>
  <si>
    <t>MICHAEL H</t>
  </si>
  <si>
    <t>50A AMORY ST</t>
  </si>
  <si>
    <t>33372-159</t>
  </si>
  <si>
    <t>011-21-00</t>
  </si>
  <si>
    <t>288021</t>
  </si>
  <si>
    <t>GUROCK</t>
  </si>
  <si>
    <t>ELI &amp; SHERI</t>
  </si>
  <si>
    <t>44 AMORY ST</t>
  </si>
  <si>
    <t>16069-061</t>
  </si>
  <si>
    <t>011-22-00</t>
  </si>
  <si>
    <t>289017</t>
  </si>
  <si>
    <t>PATTERSON</t>
  </si>
  <si>
    <t>KATHRYN SHAW &amp; STEPHEN S</t>
  </si>
  <si>
    <t>36 AMORY ST</t>
  </si>
  <si>
    <t>27104-79</t>
  </si>
  <si>
    <t>011-23-00</t>
  </si>
  <si>
    <t>290008</t>
  </si>
  <si>
    <t>BELL</t>
  </si>
  <si>
    <t>JONATHAN &amp; JACOBA JANE JACOBSON</t>
  </si>
  <si>
    <t>30 AMORY ST</t>
  </si>
  <si>
    <t>40873-259</t>
  </si>
  <si>
    <t>011-24-00</t>
  </si>
  <si>
    <t>291004</t>
  </si>
  <si>
    <t>20</t>
  </si>
  <si>
    <t>LESSIG</t>
  </si>
  <si>
    <t>LESTER LAWRENCE III</t>
  </si>
  <si>
    <t>NEUEFEIND</t>
  </si>
  <si>
    <t>BETTINA</t>
  </si>
  <si>
    <t>20 AMORY ST</t>
  </si>
  <si>
    <t>26728-265</t>
  </si>
  <si>
    <t>011-25-00</t>
  </si>
  <si>
    <t>292000</t>
  </si>
  <si>
    <t>PLATT</t>
  </si>
  <si>
    <t xml:space="preserve">MICHAEL &amp; JUDY </t>
  </si>
  <si>
    <t>14 AMORY ST</t>
  </si>
  <si>
    <t>32708-83</t>
  </si>
  <si>
    <t>012-01-00</t>
  </si>
  <si>
    <t>957</t>
  </si>
  <si>
    <t>99965035</t>
  </si>
  <si>
    <t>0</t>
  </si>
  <si>
    <t>MASS ASSOC FOR THE BLIND</t>
  </si>
  <si>
    <t>200 IVY ST</t>
  </si>
  <si>
    <t>5237-536</t>
  </si>
  <si>
    <t>012-02-00</t>
  </si>
  <si>
    <t>99966031</t>
  </si>
  <si>
    <t>200</t>
  </si>
  <si>
    <t>012-02-01</t>
  </si>
  <si>
    <t>98005135</t>
  </si>
  <si>
    <t>190</t>
  </si>
  <si>
    <t>CALHOUN TR</t>
  </si>
  <si>
    <t xml:space="preserve">STEVEN C </t>
  </si>
  <si>
    <t>190 IVY ST</t>
  </si>
  <si>
    <t>34535-423</t>
  </si>
  <si>
    <t>012-03-00</t>
  </si>
  <si>
    <t>932</t>
  </si>
  <si>
    <t>99972002</t>
  </si>
  <si>
    <t>FREEMAN ST</t>
  </si>
  <si>
    <t>C/O AMORY WOODS SANCTUARY</t>
  </si>
  <si>
    <t>012-04-00</t>
  </si>
  <si>
    <t>294029</t>
  </si>
  <si>
    <t>180</t>
  </si>
  <si>
    <t>GORDON</t>
  </si>
  <si>
    <t>LLOYD M &amp; DIANE R</t>
  </si>
  <si>
    <t>C/O AMCEL CENTER</t>
  </si>
  <si>
    <t>216 FINLEY ROAD</t>
  </si>
  <si>
    <t>ROSTRAVER</t>
  </si>
  <si>
    <t>15012</t>
  </si>
  <si>
    <t>4880-188</t>
  </si>
  <si>
    <t>012-04-01</t>
  </si>
  <si>
    <t>295025</t>
  </si>
  <si>
    <t>178</t>
  </si>
  <si>
    <t>DODSON</t>
  </si>
  <si>
    <t xml:space="preserve">DAVID &amp; WENDY </t>
  </si>
  <si>
    <t>PO BOX 10707</t>
  </si>
  <si>
    <t xml:space="preserve">JACKSON </t>
  </si>
  <si>
    <t>WY</t>
  </si>
  <si>
    <t>83002</t>
  </si>
  <si>
    <t>40619-359</t>
  </si>
  <si>
    <t>012-05-00</t>
  </si>
  <si>
    <t>296021</t>
  </si>
  <si>
    <t>COTTAGE FARM RD</t>
  </si>
  <si>
    <t>4960-644</t>
  </si>
  <si>
    <t>012-05-01</t>
  </si>
  <si>
    <t>297017</t>
  </si>
  <si>
    <t>3859-306</t>
  </si>
  <si>
    <t>012-06-00</t>
  </si>
  <si>
    <t>298013</t>
  </si>
  <si>
    <t>WORTHINGTON RD</t>
  </si>
  <si>
    <t>C/O GENERAL ACCOUNTING 4TH FL</t>
  </si>
  <si>
    <t>881 COMM AVE</t>
  </si>
  <si>
    <t>3879-621</t>
  </si>
  <si>
    <t>013-01-00</t>
  </si>
  <si>
    <t>99709025</t>
  </si>
  <si>
    <t>MASON ST</t>
  </si>
  <si>
    <t>C/O MASON SQUARE</t>
  </si>
  <si>
    <t>927-121</t>
  </si>
  <si>
    <t>014-01-00</t>
  </si>
  <si>
    <t>299009</t>
  </si>
  <si>
    <t>FORRESTER</t>
  </si>
  <si>
    <t>MICHAEL A &amp; COURTNEY M</t>
  </si>
  <si>
    <t>22 WORTHINGTON RD</t>
  </si>
  <si>
    <t>34659-498</t>
  </si>
  <si>
    <t>014-02-00</t>
  </si>
  <si>
    <t>300027</t>
  </si>
  <si>
    <t>38618-521</t>
  </si>
  <si>
    <t>014-03-00</t>
  </si>
  <si>
    <t>301023</t>
  </si>
  <si>
    <t>SITKOFF</t>
  </si>
  <si>
    <t>ROBERT H &amp; TAMARA S</t>
  </si>
  <si>
    <t>4 WORTHINGTON  RD</t>
  </si>
  <si>
    <t>25184-222</t>
  </si>
  <si>
    <t>014-04-00</t>
  </si>
  <si>
    <t>302019</t>
  </si>
  <si>
    <t>GAJDECKI</t>
  </si>
  <si>
    <t>ANITA M</t>
  </si>
  <si>
    <t>1 MASON ST</t>
  </si>
  <si>
    <t>40029-243</t>
  </si>
  <si>
    <t>014-05-00</t>
  </si>
  <si>
    <t>303015</t>
  </si>
  <si>
    <t>HAWTHORNE</t>
  </si>
  <si>
    <t>RANDOLPH G</t>
  </si>
  <si>
    <t>BALDWIN</t>
  </si>
  <si>
    <t>CARLISS Y</t>
  </si>
  <si>
    <t>11 MASON ST</t>
  </si>
  <si>
    <t>6415-741</t>
  </si>
  <si>
    <t>014-06-00</t>
  </si>
  <si>
    <t>304011</t>
  </si>
  <si>
    <t>SAPERSTONE</t>
  </si>
  <si>
    <t>PETER S &amp; NANCY B</t>
  </si>
  <si>
    <t>21 MASON ST</t>
  </si>
  <si>
    <t>36364-214</t>
  </si>
  <si>
    <t>015-01-00</t>
  </si>
  <si>
    <t>305007</t>
  </si>
  <si>
    <t>SHELDON TRS</t>
  </si>
  <si>
    <t>JONATHAN A &amp; SARAH M</t>
  </si>
  <si>
    <t>43 COTTAGE FARM RD</t>
  </si>
  <si>
    <t>31795-234</t>
  </si>
  <si>
    <t>015-02-00</t>
  </si>
  <si>
    <t>104</t>
  </si>
  <si>
    <t>306003</t>
  </si>
  <si>
    <t>51</t>
  </si>
  <si>
    <t>OLAFSSON  LIFE ESTATE</t>
  </si>
  <si>
    <t>THOMAS R JR &amp; LOUISE A</t>
  </si>
  <si>
    <t>51 COTTAGE FARM RD</t>
  </si>
  <si>
    <t>26151-341</t>
  </si>
  <si>
    <t>015-02-01</t>
  </si>
  <si>
    <t>307036</t>
  </si>
  <si>
    <t>55</t>
  </si>
  <si>
    <t>PMU REALTY LLC</t>
  </si>
  <si>
    <t>65 BELLEVUE ST</t>
  </si>
  <si>
    <t>02458</t>
  </si>
  <si>
    <t>35716-14</t>
  </si>
  <si>
    <t>015-03-00</t>
  </si>
  <si>
    <t>308032</t>
  </si>
  <si>
    <t>DUMMER ST</t>
  </si>
  <si>
    <t>MAB COMMUNITY SERVICES INC</t>
  </si>
  <si>
    <t>40733-405</t>
  </si>
  <si>
    <t>015-03-01</t>
  </si>
  <si>
    <t>309028</t>
  </si>
  <si>
    <t>10 DUMMER STREET REALTY LLC</t>
  </si>
  <si>
    <t>120 BEACONSFIELD RD # 20</t>
  </si>
  <si>
    <t>37127-147</t>
  </si>
  <si>
    <t>015-04-00</t>
  </si>
  <si>
    <t>310019</t>
  </si>
  <si>
    <t>LANDRUM</t>
  </si>
  <si>
    <t>MARY BETH</t>
  </si>
  <si>
    <t>130 ESSEX ST</t>
  </si>
  <si>
    <t>20828-461</t>
  </si>
  <si>
    <t>015-05-00</t>
  </si>
  <si>
    <t>311015</t>
  </si>
  <si>
    <t>DELONG, TR</t>
  </si>
  <si>
    <t>SUSAN E</t>
  </si>
  <si>
    <t>3 WORTHINGTON RD</t>
  </si>
  <si>
    <t>11492-361</t>
  </si>
  <si>
    <t>015-06-00</t>
  </si>
  <si>
    <t>312011</t>
  </si>
  <si>
    <t>NOGI</t>
  </si>
  <si>
    <t>EUGENE &amp; ALISON G</t>
  </si>
  <si>
    <t>11 WORTHINGTON RD</t>
  </si>
  <si>
    <t>35786-569</t>
  </si>
  <si>
    <t>016-01-02</t>
  </si>
  <si>
    <t>315036</t>
  </si>
  <si>
    <t>DAGOSTINO</t>
  </si>
  <si>
    <t>JEFFREY &amp; LISA</t>
  </si>
  <si>
    <t>53 WORTHINGTON RD</t>
  </si>
  <si>
    <t>42587 - 90</t>
  </si>
  <si>
    <t>016-01-03</t>
  </si>
  <si>
    <t>98006131</t>
  </si>
  <si>
    <t>155</t>
  </si>
  <si>
    <t>YASHENG</t>
  </si>
  <si>
    <t>155 AMORY ST</t>
  </si>
  <si>
    <t>35051-435</t>
  </si>
  <si>
    <t>016-02-00</t>
  </si>
  <si>
    <t>316032</t>
  </si>
  <si>
    <t>PAZAM LLC</t>
  </si>
  <si>
    <t>39 WORTHINGTON RD</t>
  </si>
  <si>
    <t>36272-5</t>
  </si>
  <si>
    <t>016-03-00</t>
  </si>
  <si>
    <t>317028</t>
  </si>
  <si>
    <t>54</t>
  </si>
  <si>
    <t>MUFSON TRS</t>
  </si>
  <si>
    <t>MICHAEL &amp; MARILYN J</t>
  </si>
  <si>
    <t>54 COTTAGE FARM RD</t>
  </si>
  <si>
    <t>29029-191</t>
  </si>
  <si>
    <t>016-04-04</t>
  </si>
  <si>
    <t>318024</t>
  </si>
  <si>
    <t>PAUL J &amp; AMANDA KATE NAM</t>
  </si>
  <si>
    <t>32855-162</t>
  </si>
  <si>
    <t>016-05-00</t>
  </si>
  <si>
    <t>98007127</t>
  </si>
  <si>
    <t>VAN HOOK TR</t>
  </si>
  <si>
    <t>TIMOTHY J</t>
  </si>
  <si>
    <t>WOOLF TR</t>
  </si>
  <si>
    <t>VICKI W</t>
  </si>
  <si>
    <t>49 WORTHINGTON RD</t>
  </si>
  <si>
    <t>37575-5</t>
  </si>
  <si>
    <t>017-01-00</t>
  </si>
  <si>
    <t>99710016</t>
  </si>
  <si>
    <t>808</t>
  </si>
  <si>
    <t>5620-227</t>
  </si>
  <si>
    <t>017-03-00</t>
  </si>
  <si>
    <t>039</t>
  </si>
  <si>
    <t>319020</t>
  </si>
  <si>
    <t>830</t>
  </si>
  <si>
    <t>4377-737</t>
  </si>
  <si>
    <t>017-04-00</t>
  </si>
  <si>
    <t>334</t>
  </si>
  <si>
    <t>320011</t>
  </si>
  <si>
    <t>850</t>
  </si>
  <si>
    <t>HERAIKI</t>
  </si>
  <si>
    <t>EMILE</t>
  </si>
  <si>
    <t>850 COMMONWEALTH AV</t>
  </si>
  <si>
    <t>10514-377</t>
  </si>
  <si>
    <t>017-05-00</t>
  </si>
  <si>
    <t>321007</t>
  </si>
  <si>
    <t>163</t>
  </si>
  <si>
    <t>02215-1380</t>
  </si>
  <si>
    <t>28760-286</t>
  </si>
  <si>
    <t>017-06-00</t>
  </si>
  <si>
    <t>322003</t>
  </si>
  <si>
    <t>47</t>
  </si>
  <si>
    <t>2973-497</t>
  </si>
  <si>
    <t>018-01-00</t>
  </si>
  <si>
    <t>323036</t>
  </si>
  <si>
    <t>890</t>
  </si>
  <si>
    <t>23108-232</t>
  </si>
  <si>
    <t>018-02-00</t>
  </si>
  <si>
    <t>324032</t>
  </si>
  <si>
    <t>882</t>
  </si>
  <si>
    <t>23108-226</t>
  </si>
  <si>
    <t>018-03-00</t>
  </si>
  <si>
    <t>325028</t>
  </si>
  <si>
    <t>874</t>
  </si>
  <si>
    <t>290 MCCLELLAN HIGHWAY LLC</t>
  </si>
  <si>
    <t>859 WILLARD ST STE 501</t>
  </si>
  <si>
    <t>QUINCY</t>
  </si>
  <si>
    <t>02169</t>
  </si>
  <si>
    <t>37782-42</t>
  </si>
  <si>
    <t>018-04-05</t>
  </si>
  <si>
    <t>326024</t>
  </si>
  <si>
    <t>860</t>
  </si>
  <si>
    <t>GROSSMAN</t>
  </si>
  <si>
    <t>BERNARD D &amp; MORTON S</t>
  </si>
  <si>
    <t>C/O THE GROSSMAN COMPANIES</t>
  </si>
  <si>
    <t>859 WILLARD ST SUITE 501</t>
  </si>
  <si>
    <t>5836-604</t>
  </si>
  <si>
    <t>019-01-00</t>
  </si>
  <si>
    <t>327020</t>
  </si>
  <si>
    <t>900</t>
  </si>
  <si>
    <t>HOWE TR</t>
  </si>
  <si>
    <t>DEREK A</t>
  </si>
  <si>
    <t>C/O SIS PROPERTY MANAGEMENT</t>
  </si>
  <si>
    <t>930 COMMONWEALTH AVE</t>
  </si>
  <si>
    <t>7896-33</t>
  </si>
  <si>
    <t>019-02-00</t>
  </si>
  <si>
    <t>328016</t>
  </si>
  <si>
    <t>115</t>
  </si>
  <si>
    <t>NATIONAL STUDIOS LLC</t>
  </si>
  <si>
    <t>115 DUMMER ST</t>
  </si>
  <si>
    <t>8641-362</t>
  </si>
  <si>
    <t>019-07-00</t>
  </si>
  <si>
    <t>330003</t>
  </si>
  <si>
    <t>928</t>
  </si>
  <si>
    <t>23108-246</t>
  </si>
  <si>
    <t>019-08-09</t>
  </si>
  <si>
    <t>331036</t>
  </si>
  <si>
    <t>916</t>
  </si>
  <si>
    <t xml:space="preserve">DEREK A </t>
  </si>
  <si>
    <t>930 S COMMONWEALTH AV</t>
  </si>
  <si>
    <t>8358-347</t>
  </si>
  <si>
    <t>019-10-00</t>
  </si>
  <si>
    <t>99713004</t>
  </si>
  <si>
    <t>910</t>
  </si>
  <si>
    <t>31088-253</t>
  </si>
  <si>
    <t>019-11-00</t>
  </si>
  <si>
    <t>336</t>
  </si>
  <si>
    <t>332032</t>
  </si>
  <si>
    <t>CULBERT, ET AL TRS</t>
  </si>
  <si>
    <t>ANDREW</t>
  </si>
  <si>
    <t>7917-658</t>
  </si>
  <si>
    <t>020-01-00</t>
  </si>
  <si>
    <t>970</t>
  </si>
  <si>
    <t>99714000</t>
  </si>
  <si>
    <t>338</t>
  </si>
  <si>
    <t>ST PAUL ST</t>
  </si>
  <si>
    <t>BROOKLINE HOUSING AUTHORITY</t>
  </si>
  <si>
    <t>90 LONGWOOD AV</t>
  </si>
  <si>
    <t>2814-70</t>
  </si>
  <si>
    <t>M10</t>
  </si>
  <si>
    <t>022-01-01</t>
  </si>
  <si>
    <t>334024</t>
  </si>
  <si>
    <t>EGMONT ST</t>
  </si>
  <si>
    <t>C1-1</t>
  </si>
  <si>
    <t>MADVA</t>
  </si>
  <si>
    <t>MCDERMOTT</t>
  </si>
  <si>
    <t>26 EGMONT ST # C1-1</t>
  </si>
  <si>
    <t>37634-473</t>
  </si>
  <si>
    <t>022-01-02</t>
  </si>
  <si>
    <t>335020</t>
  </si>
  <si>
    <t>C1-2 &amp; PK</t>
  </si>
  <si>
    <t>MANTOVANELLI</t>
  </si>
  <si>
    <t>FEDERICO GIORGIO</t>
  </si>
  <si>
    <t>GRIWERT</t>
  </si>
  <si>
    <t>KATHERINE ELIZABETH</t>
  </si>
  <si>
    <t>26 EGMONT ST #3</t>
  </si>
  <si>
    <t>36574-451</t>
  </si>
  <si>
    <t>022-01-03</t>
  </si>
  <si>
    <t>336016</t>
  </si>
  <si>
    <t>C1-3</t>
  </si>
  <si>
    <t>YU</t>
  </si>
  <si>
    <t>LICHTERFELD</t>
  </si>
  <si>
    <t>MATHIAS</t>
  </si>
  <si>
    <t>26 EGMONT ST #C1-3</t>
  </si>
  <si>
    <t>34177-576</t>
  </si>
  <si>
    <t>022-01-04</t>
  </si>
  <si>
    <t>337012</t>
  </si>
  <si>
    <t>C2-1</t>
  </si>
  <si>
    <t>FIONA</t>
  </si>
  <si>
    <t>26 EGMONT ST #C2-1</t>
  </si>
  <si>
    <t>MB</t>
  </si>
  <si>
    <t>41209-114</t>
  </si>
  <si>
    <t>022-01-05</t>
  </si>
  <si>
    <t>338008</t>
  </si>
  <si>
    <t>C2-2</t>
  </si>
  <si>
    <t>YIFAN</t>
  </si>
  <si>
    <t>WENG</t>
  </si>
  <si>
    <t>DEMING</t>
  </si>
  <si>
    <t>567 ELDORA RD</t>
  </si>
  <si>
    <t>PASADENA</t>
  </si>
  <si>
    <t>91104</t>
  </si>
  <si>
    <t>31655-104</t>
  </si>
  <si>
    <t>022-01-07</t>
  </si>
  <si>
    <t>339004</t>
  </si>
  <si>
    <t>C2-3</t>
  </si>
  <si>
    <t>BOLINGER</t>
  </si>
  <si>
    <t>CHRISTOPHER NEWTON</t>
  </si>
  <si>
    <t>KRONENBERG</t>
  </si>
  <si>
    <t>LEAH JOY</t>
  </si>
  <si>
    <t>26 EGMONT ST #C2-3</t>
  </si>
  <si>
    <t>35335-284</t>
  </si>
  <si>
    <t>022-03-01</t>
  </si>
  <si>
    <t>340032</t>
  </si>
  <si>
    <t>B1-1</t>
  </si>
  <si>
    <t>GRINBERG TR</t>
  </si>
  <si>
    <t>ROSA</t>
  </si>
  <si>
    <t>20 EGMONT ST #B1-1</t>
  </si>
  <si>
    <t>33687-293</t>
  </si>
  <si>
    <t>022-03-02</t>
  </si>
  <si>
    <t>341028</t>
  </si>
  <si>
    <t>B1-2</t>
  </si>
  <si>
    <t>BABADUSTOV</t>
  </si>
  <si>
    <t>GRIGORY</t>
  </si>
  <si>
    <t>20 EGMONT ST #B1-2</t>
  </si>
  <si>
    <t>11298-293</t>
  </si>
  <si>
    <t>022-03-03</t>
  </si>
  <si>
    <t>342024</t>
  </si>
  <si>
    <t>B1-3</t>
  </si>
  <si>
    <t>HAN</t>
  </si>
  <si>
    <t>MAY</t>
  </si>
  <si>
    <t>20 EGMONT ST #B1-3</t>
  </si>
  <si>
    <t>32500-343</t>
  </si>
  <si>
    <t>022-03-04</t>
  </si>
  <si>
    <t>343020</t>
  </si>
  <si>
    <t>B2-1</t>
  </si>
  <si>
    <t>SPRINGER</t>
  </si>
  <si>
    <t>MICHAEL</t>
  </si>
  <si>
    <t>BRENNER</t>
  </si>
  <si>
    <t>TAMARA</t>
  </si>
  <si>
    <t>20 EGMONT ST #B2-1</t>
  </si>
  <si>
    <t>27043-359</t>
  </si>
  <si>
    <t>022-03-05</t>
  </si>
  <si>
    <t>344016</t>
  </si>
  <si>
    <t>B2-2</t>
  </si>
  <si>
    <t>DEWINTER TRS</t>
  </si>
  <si>
    <t>URBAIN J</t>
  </si>
  <si>
    <t>20 EGMONT ST #B2-2</t>
  </si>
  <si>
    <t>28477-487</t>
  </si>
  <si>
    <t>022-03-06</t>
  </si>
  <si>
    <t>345012</t>
  </si>
  <si>
    <t>B2-3</t>
  </si>
  <si>
    <t>DESAI</t>
  </si>
  <si>
    <t>MICHAEL E</t>
  </si>
  <si>
    <t>SIMMONS</t>
  </si>
  <si>
    <t>SHERI L</t>
  </si>
  <si>
    <t>20 EGMONT ST #B2-3</t>
  </si>
  <si>
    <t>36019-144</t>
  </si>
  <si>
    <t>022-05-01</t>
  </si>
  <si>
    <t>346008</t>
  </si>
  <si>
    <t>A1-1</t>
  </si>
  <si>
    <t>PANT</t>
  </si>
  <si>
    <t>BHASKAR &amp; HEMANGINI</t>
  </si>
  <si>
    <t>14 EGMONT ST #A1-1</t>
  </si>
  <si>
    <t>27016-498</t>
  </si>
  <si>
    <t>022-05-02</t>
  </si>
  <si>
    <t>347004</t>
  </si>
  <si>
    <t>A1-2</t>
  </si>
  <si>
    <t>FEITH TR</t>
  </si>
  <si>
    <t xml:space="preserve">DINA </t>
  </si>
  <si>
    <t>14 EGMONT ST #3</t>
  </si>
  <si>
    <t>36207-271</t>
  </si>
  <si>
    <t>022-05-03</t>
  </si>
  <si>
    <t>348000</t>
  </si>
  <si>
    <t>A1-3</t>
  </si>
  <si>
    <t>MILLER</t>
  </si>
  <si>
    <t>BRENDAN &amp; MARCIE</t>
  </si>
  <si>
    <t>14 EGMONT ST #A1-3</t>
  </si>
  <si>
    <t>41759-343</t>
  </si>
  <si>
    <t>022-05-04</t>
  </si>
  <si>
    <t>349033</t>
  </si>
  <si>
    <t>A2-1</t>
  </si>
  <si>
    <t>EDELSON</t>
  </si>
  <si>
    <t>JILL A</t>
  </si>
  <si>
    <t>14 EGMONT ST #2</t>
  </si>
  <si>
    <t>10626-404</t>
  </si>
  <si>
    <t>022-05-05</t>
  </si>
  <si>
    <t>350024</t>
  </si>
  <si>
    <t>A2-2</t>
  </si>
  <si>
    <t>CHOWDHURY</t>
  </si>
  <si>
    <t>DIPANJAN</t>
  </si>
  <si>
    <t>14 EGMONT ST #A2-2</t>
  </si>
  <si>
    <t>37972-207</t>
  </si>
  <si>
    <t>022-05-06</t>
  </si>
  <si>
    <t>351020</t>
  </si>
  <si>
    <t>A2-3</t>
  </si>
  <si>
    <t>GILMAN</t>
  </si>
  <si>
    <t>AARON M &amp; SUSAN K</t>
  </si>
  <si>
    <t>14 EGMONT ST #A2-3</t>
  </si>
  <si>
    <t>28976-62</t>
  </si>
  <si>
    <t>022-07-01</t>
  </si>
  <si>
    <t>353012</t>
  </si>
  <si>
    <t>2 &amp; P25</t>
  </si>
  <si>
    <t>STANG</t>
  </si>
  <si>
    <t>DEBORAH</t>
  </si>
  <si>
    <t>CRAIGUE</t>
  </si>
  <si>
    <t>ROBERT J JR</t>
  </si>
  <si>
    <t>132 AMORY ST #2</t>
  </si>
  <si>
    <t>38464-538</t>
  </si>
  <si>
    <t>022-07-02</t>
  </si>
  <si>
    <t>354008</t>
  </si>
  <si>
    <t>3 &amp; P20 P21</t>
  </si>
  <si>
    <t>CHASE</t>
  </si>
  <si>
    <t>JENNIFER A</t>
  </si>
  <si>
    <t>BEN-ARI</t>
  </si>
  <si>
    <t>NIR</t>
  </si>
  <si>
    <t>132 AMORY ST #3</t>
  </si>
  <si>
    <t>35716-484</t>
  </si>
  <si>
    <t>022-07-03</t>
  </si>
  <si>
    <t>355004</t>
  </si>
  <si>
    <t>4 &amp; P27 P28</t>
  </si>
  <si>
    <t>WILCOX, ET AL</t>
  </si>
  <si>
    <t>DAVID L</t>
  </si>
  <si>
    <t>132 AMORY ST #4</t>
  </si>
  <si>
    <t>6781-265</t>
  </si>
  <si>
    <t>FL</t>
  </si>
  <si>
    <t>ZHAN</t>
  </si>
  <si>
    <t>86</t>
  </si>
  <si>
    <t>KIM</t>
  </si>
  <si>
    <t>ELENA</t>
  </si>
  <si>
    <t>COHEN</t>
  </si>
  <si>
    <t>MICHAEL R</t>
  </si>
  <si>
    <t>DANIEL</t>
  </si>
  <si>
    <t>PALM BEACH GARDENS</t>
  </si>
  <si>
    <t>33410</t>
  </si>
  <si>
    <t>WONG TRS</t>
  </si>
  <si>
    <t>SCHNEIDER</t>
  </si>
  <si>
    <t>LEVY TR</t>
  </si>
  <si>
    <t>144</t>
  </si>
  <si>
    <t>1140</t>
  </si>
  <si>
    <t>2 &amp; P3</t>
  </si>
  <si>
    <t>MARKS</t>
  </si>
  <si>
    <t>3 &amp; P4</t>
  </si>
  <si>
    <t>DEBORAH J</t>
  </si>
  <si>
    <t>REUBEN</t>
  </si>
  <si>
    <t>820</t>
  </si>
  <si>
    <t>MICHAEL S</t>
  </si>
  <si>
    <t>1 &amp; P1-2</t>
  </si>
  <si>
    <t>HARRINGTON TRS</t>
  </si>
  <si>
    <t>BAO</t>
  </si>
  <si>
    <t>COHEN TR</t>
  </si>
  <si>
    <t>KUBO</t>
  </si>
  <si>
    <t>ANTONIO</t>
  </si>
  <si>
    <t>ALINA</t>
  </si>
  <si>
    <t>AXELROD</t>
  </si>
  <si>
    <t>BRADLEY A</t>
  </si>
  <si>
    <t>LEV</t>
  </si>
  <si>
    <t>010-02-05</t>
  </si>
  <si>
    <t>20077305</t>
  </si>
  <si>
    <t>101 G19-20-21</t>
  </si>
  <si>
    <t>DORIS TOBY</t>
  </si>
  <si>
    <t>LAWRENCE J</t>
  </si>
  <si>
    <t>1140 BEACON ST #101</t>
  </si>
  <si>
    <t>32639-502</t>
  </si>
  <si>
    <t>010-02-06</t>
  </si>
  <si>
    <t>20154317</t>
  </si>
  <si>
    <t>102 G13-14</t>
  </si>
  <si>
    <t>1140 BEACON ST #102</t>
  </si>
  <si>
    <t>21656-478</t>
  </si>
  <si>
    <t>010-02-07</t>
  </si>
  <si>
    <t>20160325</t>
  </si>
  <si>
    <t>103 &amp;G3-G4</t>
  </si>
  <si>
    <t>GAIL STEINKOHL</t>
  </si>
  <si>
    <t>1140 BEACON ST #103</t>
  </si>
  <si>
    <t>42043-189</t>
  </si>
  <si>
    <t>010-02-08</t>
  </si>
  <si>
    <t>20161321</t>
  </si>
  <si>
    <t>104 &amp; G1-2</t>
  </si>
  <si>
    <t>REIKO</t>
  </si>
  <si>
    <t>1140 BEACON ST #104</t>
  </si>
  <si>
    <t>35921-38</t>
  </si>
  <si>
    <t>010-02-09</t>
  </si>
  <si>
    <t>20162317</t>
  </si>
  <si>
    <t>105 G9-10-27</t>
  </si>
  <si>
    <t>STEPHEN M L &amp; CAROL F</t>
  </si>
  <si>
    <t>13621 RIVOLI DR</t>
  </si>
  <si>
    <t>33280-415</t>
  </si>
  <si>
    <t>010-02-10</t>
  </si>
  <si>
    <t>20163313</t>
  </si>
  <si>
    <t>201 G23&amp;24</t>
  </si>
  <si>
    <t>LANDAY LIFE ESTATE</t>
  </si>
  <si>
    <t>SHEILA D</t>
  </si>
  <si>
    <t>1140 BEACON ST #201</t>
  </si>
  <si>
    <t>32166-329</t>
  </si>
  <si>
    <t>010-02-11</t>
  </si>
  <si>
    <t>20164309</t>
  </si>
  <si>
    <t>202 G15-16</t>
  </si>
  <si>
    <t>ULLIAN</t>
  </si>
  <si>
    <t>STEPHEN &amp; ELAINE</t>
  </si>
  <si>
    <t>1140 BEACON ST #202</t>
  </si>
  <si>
    <t>30624-411</t>
  </si>
  <si>
    <t>010-02-12</t>
  </si>
  <si>
    <t>20165305</t>
  </si>
  <si>
    <t>203 G5-6</t>
  </si>
  <si>
    <t>RONNIE S &amp; JEREMY G</t>
  </si>
  <si>
    <t>1140 BEACON ST #203</t>
  </si>
  <si>
    <t>30432-434</t>
  </si>
  <si>
    <t>010-02-13</t>
  </si>
  <si>
    <t>20166301</t>
  </si>
  <si>
    <t>204 G30&amp;31</t>
  </si>
  <si>
    <t>SURYAMEGA, TR</t>
  </si>
  <si>
    <t>1140 BEACON ST #204</t>
  </si>
  <si>
    <t>18407-358</t>
  </si>
  <si>
    <t>010-02-14</t>
  </si>
  <si>
    <t>20167334</t>
  </si>
  <si>
    <t>301 &amp; 3 G</t>
  </si>
  <si>
    <t>TOVAR, TR</t>
  </si>
  <si>
    <t>MONICA LYNN</t>
  </si>
  <si>
    <t>1140 BEACON ST #301</t>
  </si>
  <si>
    <t>21627-326</t>
  </si>
  <si>
    <t>010-02-15</t>
  </si>
  <si>
    <t>20168330</t>
  </si>
  <si>
    <t>302 G25&amp;26</t>
  </si>
  <si>
    <t>1140 BEACON ST #302</t>
  </si>
  <si>
    <t>31053-364</t>
  </si>
  <si>
    <t>010-02-16</t>
  </si>
  <si>
    <t>20169326</t>
  </si>
  <si>
    <t>303 G11&amp;12</t>
  </si>
  <si>
    <t>GLAZMAN</t>
  </si>
  <si>
    <t>ROYTBERG</t>
  </si>
  <si>
    <t>1140 BEACON ST #303</t>
  </si>
  <si>
    <t>18417-075</t>
  </si>
  <si>
    <t>010-02-17</t>
  </si>
  <si>
    <t>20170317</t>
  </si>
  <si>
    <t>304  G7-8</t>
  </si>
  <si>
    <t>TANASHIAN TRS</t>
  </si>
  <si>
    <t>ABRAHAM &amp; AUDREY</t>
  </si>
  <si>
    <t>1140 BEACON ST #304</t>
  </si>
  <si>
    <t>28303-499</t>
  </si>
  <si>
    <t>010-02-18</t>
  </si>
  <si>
    <t>20171313</t>
  </si>
  <si>
    <t>305 G28-29</t>
  </si>
  <si>
    <t>OLSTEIN</t>
  </si>
  <si>
    <t>1140 BEACON ST #305</t>
  </si>
  <si>
    <t>26969-460</t>
  </si>
  <si>
    <t>PHAN</t>
  </si>
  <si>
    <t>019-05-12</t>
  </si>
  <si>
    <t>20945108</t>
  </si>
  <si>
    <t>930 COMMONWEALTH AV</t>
  </si>
  <si>
    <t>009B-07-59</t>
  </si>
  <si>
    <t>20002111</t>
  </si>
  <si>
    <t>PK-Y-Z-AA</t>
  </si>
  <si>
    <t>BEACON GATE CONDOS</t>
  </si>
  <si>
    <t>009B-07-60</t>
  </si>
  <si>
    <t>20944112</t>
  </si>
  <si>
    <t>PRK-N</t>
  </si>
  <si>
    <t>021-01-00</t>
  </si>
  <si>
    <t>99748034</t>
  </si>
  <si>
    <t>96463</t>
  </si>
  <si>
    <t>021-16-00</t>
  </si>
  <si>
    <t>99763001</t>
  </si>
  <si>
    <t>86 DUMMER LLC</t>
  </si>
  <si>
    <t>C/O BROOKLINE HOUSING AUTHORITY</t>
  </si>
  <si>
    <t>005-13-01</t>
  </si>
  <si>
    <t>22886135</t>
  </si>
  <si>
    <t>25 EUSTON ST #1</t>
  </si>
  <si>
    <t>33040-587</t>
  </si>
  <si>
    <t>005-13-02</t>
  </si>
  <si>
    <t>22887131</t>
  </si>
  <si>
    <t>25 EUSTON ST #2</t>
  </si>
  <si>
    <t>42108-148</t>
  </si>
  <si>
    <t>005-13-03</t>
  </si>
  <si>
    <t>22888127</t>
  </si>
  <si>
    <t>THOMAS WILLIAM &amp; ELIZABETH PEARL</t>
  </si>
  <si>
    <t>25 EUSTON ST #3</t>
  </si>
  <si>
    <t>35323-99</t>
  </si>
  <si>
    <t>017-02-07</t>
  </si>
  <si>
    <t>99715033</t>
  </si>
  <si>
    <t>005-10-01</t>
  </si>
  <si>
    <t>99988438</t>
  </si>
  <si>
    <t>NODA TR</t>
  </si>
  <si>
    <t>15 EUSTON ST #1A</t>
  </si>
  <si>
    <t>41751-72</t>
  </si>
  <si>
    <t>005-10-02</t>
  </si>
  <si>
    <t>99988439</t>
  </si>
  <si>
    <t>OLIVIA SOOHAE</t>
  </si>
  <si>
    <t>FALATO</t>
  </si>
  <si>
    <t>15 EUSTON ST #1</t>
  </si>
  <si>
    <t>41164-288</t>
  </si>
  <si>
    <t>005-10-03</t>
  </si>
  <si>
    <t>99988440</t>
  </si>
  <si>
    <t>FARZAN</t>
  </si>
  <si>
    <t>CHOE</t>
  </si>
  <si>
    <t>HYERYUN</t>
  </si>
  <si>
    <t>15 EUSTON ST #2</t>
  </si>
  <si>
    <t>41308-156</t>
  </si>
  <si>
    <t>005-10-04</t>
  </si>
  <si>
    <t>99988441</t>
  </si>
  <si>
    <t>HOAN MINH</t>
  </si>
  <si>
    <t>15 EUSTON ST #3</t>
  </si>
  <si>
    <t>41221-71</t>
  </si>
  <si>
    <t>ZONING</t>
  </si>
  <si>
    <t xml:space="preserve">FY26 TAXES </t>
  </si>
  <si>
    <t>001-13-00.9</t>
  </si>
  <si>
    <t>001-14-00.9</t>
  </si>
  <si>
    <t>001-15-00.9</t>
  </si>
  <si>
    <t>002-01-00.9</t>
  </si>
  <si>
    <t>002-09-00.9</t>
  </si>
  <si>
    <t>002-13-00.9</t>
  </si>
  <si>
    <t>002-14-00.9</t>
  </si>
  <si>
    <t>002-15-00.9</t>
  </si>
  <si>
    <t>002-16-00.9</t>
  </si>
  <si>
    <t>002-18-00.9</t>
  </si>
  <si>
    <t>005-06-00.9</t>
  </si>
  <si>
    <t>005-10-00.9</t>
  </si>
  <si>
    <t>005-13-00.9</t>
  </si>
  <si>
    <t>009B-07-00.9</t>
  </si>
  <si>
    <t>009B-10-00.9</t>
  </si>
  <si>
    <t>010-01-00.9</t>
  </si>
  <si>
    <t>010-02-04.9</t>
  </si>
  <si>
    <t>011-01-04.9</t>
  </si>
  <si>
    <t>022-01-00.9</t>
  </si>
  <si>
    <t>022-07-00.9</t>
  </si>
  <si>
    <t>Condo Main</t>
  </si>
  <si>
    <t>Year Built</t>
  </si>
  <si>
    <t>Total Finished Area</t>
  </si>
  <si>
    <t>Commercial Units</t>
  </si>
  <si>
    <t>Residential Units</t>
  </si>
  <si>
    <t>Taxes @ 25M Override</t>
  </si>
  <si>
    <t>Tax Delta @ 25M Override</t>
  </si>
  <si>
    <t>Taxes @ 18M Override</t>
  </si>
  <si>
    <t>Tax Delta @ 18M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</si>
</sst>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401"/>
  <sheetViews>
    <sheetView tabSelected="1" workbookViewId="0">
      <pane ySplit="1" topLeftCell="A2" activePane="bottomLeft" state="frozen"/>
      <selection pane="bottomLeft" activeCell="A751" sqref="A402:XFD751"/>
    </sheetView>
  </sheetViews>
  <sheetFormatPr defaultRowHeight="14.4" x14ac:dyDescent="0.3"/>
  <cols>
    <col min="1" max="1" width="13.33203125" style="1" bestFit="1" customWidth="1"/>
    <col min="2" max="2" width="11" style="2" bestFit="1" customWidth="1"/>
    <col min="3" max="3" width="26.5546875" style="2" bestFit="1" customWidth="1"/>
    <col min="4" max="4" width="16.33203125" style="2" hidden="1" customWidth="1"/>
    <col min="5" max="5" width="13" style="1" hidden="1" customWidth="1"/>
    <col min="6" max="6" width="14.88671875" style="2" hidden="1" customWidth="1"/>
    <col min="7" max="7" width="16.5546875" style="2" bestFit="1" customWidth="1"/>
    <col min="8" max="8" width="25.6640625" style="2" bestFit="1" customWidth="1"/>
    <col min="9" max="9" width="21.5546875" style="2" bestFit="1" customWidth="1"/>
    <col min="10" max="10" width="21.44140625" style="2" bestFit="1" customWidth="1"/>
    <col min="11" max="11" width="17.33203125" style="10" customWidth="1"/>
    <col min="12" max="12" width="69.88671875" style="2" bestFit="1" customWidth="1"/>
    <col min="13" max="13" width="66" style="2" bestFit="1" customWidth="1"/>
    <col min="14" max="14" width="48.33203125" style="2" bestFit="1" customWidth="1"/>
    <col min="15" max="15" width="38" style="2" bestFit="1" customWidth="1"/>
    <col min="16" max="16" width="49.88671875" style="2" hidden="1" customWidth="1"/>
    <col min="17" max="17" width="29.44140625" style="2" hidden="1" customWidth="1"/>
    <col min="18" max="18" width="7.88671875" style="2" hidden="1" customWidth="1"/>
    <col min="19" max="19" width="16.88671875" style="2" hidden="1" customWidth="1"/>
    <col min="20" max="20" width="11" style="2" hidden="1" customWidth="1"/>
    <col min="21" max="21" width="12.33203125" style="2" hidden="1" customWidth="1"/>
    <col min="22" max="23" width="10" style="10" hidden="1" customWidth="1"/>
    <col min="24" max="25" width="10" style="11" hidden="1" customWidth="1"/>
    <col min="26" max="26" width="11.88671875" style="2" hidden="1" customWidth="1"/>
    <col min="27" max="27" width="17.5546875" style="2" hidden="1" customWidth="1"/>
    <col min="28" max="28" width="11.5546875" style="3" hidden="1" customWidth="1"/>
    <col min="29" max="29" width="11.88671875" style="2" hidden="1" customWidth="1"/>
    <col min="30" max="30" width="18.109375" style="2" bestFit="1" customWidth="1"/>
    <col min="31" max="31" width="23" style="2" hidden="1" customWidth="1"/>
    <col min="32" max="32" width="15.33203125" style="4" bestFit="1" customWidth="1"/>
    <col min="33" max="33" width="13.33203125" style="8" bestFit="1" customWidth="1"/>
    <col min="34" max="34" width="21.109375" bestFit="1" customWidth="1"/>
    <col min="35" max="35" width="24.44140625" bestFit="1" customWidth="1"/>
    <col min="36" max="36" width="21.109375" bestFit="1" customWidth="1"/>
    <col min="37" max="37" width="24.44140625" bestFit="1" customWidth="1"/>
  </cols>
  <sheetData>
    <row r="1" spans="1:37" s="7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2842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2843</v>
      </c>
      <c r="W1" s="5" t="s">
        <v>2844</v>
      </c>
      <c r="X1" s="5" t="s">
        <v>2845</v>
      </c>
      <c r="Y1" s="5" t="s">
        <v>2846</v>
      </c>
      <c r="Z1" s="5" t="s">
        <v>2820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24</v>
      </c>
      <c r="AF1" s="6" t="s">
        <v>25</v>
      </c>
      <c r="AG1" s="9" t="s">
        <v>2821</v>
      </c>
      <c r="AH1" s="7" t="s">
        <v>2847</v>
      </c>
      <c r="AI1" s="7" t="s">
        <v>2848</v>
      </c>
      <c r="AJ1" s="7" t="s">
        <v>2849</v>
      </c>
      <c r="AK1" s="7" t="s">
        <v>2850</v>
      </c>
    </row>
    <row r="2" spans="1:37" x14ac:dyDescent="0.3">
      <c r="A2" s="1">
        <v>1</v>
      </c>
      <c r="B2" s="2" t="s">
        <v>26</v>
      </c>
      <c r="C2" s="2" t="s">
        <v>27</v>
      </c>
      <c r="D2" s="2" t="s">
        <v>28</v>
      </c>
      <c r="E2" s="1">
        <v>1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31</v>
      </c>
      <c r="K2" s="10" t="s">
        <v>31</v>
      </c>
      <c r="L2" s="2" t="s">
        <v>33</v>
      </c>
      <c r="M2" s="2" t="s">
        <v>31</v>
      </c>
      <c r="N2" s="2" t="s">
        <v>31</v>
      </c>
      <c r="O2" s="2" t="s">
        <v>31</v>
      </c>
      <c r="P2" s="2" t="s">
        <v>34</v>
      </c>
      <c r="Q2" s="2" t="s">
        <v>35</v>
      </c>
      <c r="R2" s="2" t="s">
        <v>36</v>
      </c>
      <c r="S2" s="2" t="s">
        <v>31</v>
      </c>
      <c r="T2" s="2" t="s">
        <v>37</v>
      </c>
      <c r="U2" s="2">
        <v>4500</v>
      </c>
      <c r="V2" s="10">
        <v>1939</v>
      </c>
      <c r="W2" s="10">
        <v>5436</v>
      </c>
      <c r="X2" s="11">
        <v>1</v>
      </c>
      <c r="Y2" s="11">
        <v>1</v>
      </c>
      <c r="Z2" s="2" t="s">
        <v>40</v>
      </c>
      <c r="AA2" s="2" t="s">
        <v>38</v>
      </c>
      <c r="AB2" s="3">
        <v>42704</v>
      </c>
      <c r="AC2" s="2">
        <v>5500000</v>
      </c>
      <c r="AD2" s="2" t="s">
        <v>39</v>
      </c>
      <c r="AE2" s="2">
        <v>0</v>
      </c>
      <c r="AF2" s="4">
        <v>4807700</v>
      </c>
      <c r="AG2" s="8">
        <v>73517.460000000006</v>
      </c>
      <c r="AH2" s="8">
        <f>AG2*1.0751</f>
        <v>79038.62124600001</v>
      </c>
      <c r="AI2" s="8">
        <f>AH2-AG2</f>
        <v>5521.1612460000033</v>
      </c>
      <c r="AJ2" s="8">
        <f>AG2*1.0541</f>
        <v>77494.75458600001</v>
      </c>
      <c r="AK2" s="8">
        <f>AJ2-AG2</f>
        <v>3977.2945860000036</v>
      </c>
    </row>
    <row r="3" spans="1:37" x14ac:dyDescent="0.3">
      <c r="A3" s="1">
        <v>2</v>
      </c>
      <c r="B3" s="2" t="s">
        <v>41</v>
      </c>
      <c r="C3" s="2" t="s">
        <v>42</v>
      </c>
      <c r="D3" s="2" t="s">
        <v>28</v>
      </c>
      <c r="E3" s="1">
        <v>0</v>
      </c>
      <c r="F3" s="2" t="s">
        <v>43</v>
      </c>
      <c r="G3" s="2" t="s">
        <v>44</v>
      </c>
      <c r="H3" s="2" t="s">
        <v>31</v>
      </c>
      <c r="I3" s="2" t="s">
        <v>32</v>
      </c>
      <c r="J3" s="2" t="s">
        <v>31</v>
      </c>
      <c r="K3" s="10" t="s">
        <v>31</v>
      </c>
      <c r="L3" s="2" t="s">
        <v>45</v>
      </c>
      <c r="M3" s="2" t="s">
        <v>31</v>
      </c>
      <c r="N3" s="2" t="s">
        <v>31</v>
      </c>
      <c r="O3" s="2" t="s">
        <v>31</v>
      </c>
      <c r="P3" s="2" t="s">
        <v>46</v>
      </c>
      <c r="Q3" s="2" t="s">
        <v>47</v>
      </c>
      <c r="R3" s="2" t="s">
        <v>48</v>
      </c>
      <c r="S3" s="2" t="s">
        <v>31</v>
      </c>
      <c r="T3" s="2" t="s">
        <v>49</v>
      </c>
      <c r="U3" s="2">
        <v>25200</v>
      </c>
      <c r="V3" s="10">
        <v>1934</v>
      </c>
      <c r="W3" s="10">
        <v>16176</v>
      </c>
      <c r="X3" s="11">
        <v>5</v>
      </c>
      <c r="Y3" s="11">
        <v>0</v>
      </c>
      <c r="Z3" s="2" t="s">
        <v>40</v>
      </c>
      <c r="AA3" s="2" t="s">
        <v>50</v>
      </c>
      <c r="AB3" s="3">
        <v>44608</v>
      </c>
      <c r="AC3" s="2">
        <v>14995000</v>
      </c>
      <c r="AD3" s="2" t="s">
        <v>39</v>
      </c>
      <c r="AE3" s="2">
        <v>0</v>
      </c>
      <c r="AF3" s="4">
        <v>11438400</v>
      </c>
      <c r="AG3" s="8">
        <v>196282.94</v>
      </c>
      <c r="AH3" s="8">
        <f t="shared" ref="AH3:AH66" si="0">AG3*1.0751</f>
        <v>211023.78879399999</v>
      </c>
      <c r="AI3" s="8">
        <f t="shared" ref="AI3:AI66" si="1">AH3-AG3</f>
        <v>14740.84879399999</v>
      </c>
      <c r="AJ3" s="8">
        <f t="shared" ref="AJ3:AJ66" si="2">AG3*1.0541</f>
        <v>206901.84705400001</v>
      </c>
      <c r="AK3" s="8">
        <f t="shared" ref="AK3:AK66" si="3">AJ3-AG3</f>
        <v>10618.90705400001</v>
      </c>
    </row>
    <row r="4" spans="1:37" x14ac:dyDescent="0.3">
      <c r="A4" s="1">
        <v>3</v>
      </c>
      <c r="B4" s="2" t="s">
        <v>51</v>
      </c>
      <c r="C4" s="2" t="s">
        <v>52</v>
      </c>
      <c r="D4" s="2" t="s">
        <v>28</v>
      </c>
      <c r="E4" s="1">
        <v>0</v>
      </c>
      <c r="F4" s="2" t="s">
        <v>53</v>
      </c>
      <c r="G4" s="2" t="s">
        <v>54</v>
      </c>
      <c r="H4" s="2" t="s">
        <v>31</v>
      </c>
      <c r="I4" s="2" t="s">
        <v>32</v>
      </c>
      <c r="J4" s="2" t="s">
        <v>31</v>
      </c>
      <c r="K4" s="10" t="s">
        <v>31</v>
      </c>
      <c r="L4" s="2" t="s">
        <v>55</v>
      </c>
      <c r="M4" s="2" t="s">
        <v>56</v>
      </c>
      <c r="N4" s="2" t="s">
        <v>57</v>
      </c>
      <c r="O4" s="2" t="s">
        <v>31</v>
      </c>
      <c r="P4" s="2" t="s">
        <v>58</v>
      </c>
      <c r="Q4" s="2" t="s">
        <v>59</v>
      </c>
      <c r="R4" s="2" t="s">
        <v>48</v>
      </c>
      <c r="S4" s="2" t="s">
        <v>31</v>
      </c>
      <c r="T4" s="2" t="s">
        <v>60</v>
      </c>
      <c r="U4" s="2">
        <v>3600</v>
      </c>
      <c r="V4" s="10">
        <v>1920</v>
      </c>
      <c r="W4" s="10">
        <v>6830.85</v>
      </c>
      <c r="X4" s="11">
        <v>5</v>
      </c>
      <c r="Y4" s="11">
        <v>0</v>
      </c>
      <c r="Z4" s="2" t="s">
        <v>40</v>
      </c>
      <c r="AA4" s="2" t="s">
        <v>61</v>
      </c>
      <c r="AB4" s="3">
        <v>33435</v>
      </c>
      <c r="AC4" s="2">
        <v>480000</v>
      </c>
      <c r="AD4" s="2" t="s">
        <v>39</v>
      </c>
      <c r="AE4" s="2">
        <v>0</v>
      </c>
      <c r="AF4" s="4">
        <v>3053300</v>
      </c>
      <c r="AG4" s="8">
        <v>52394.63</v>
      </c>
      <c r="AH4" s="8">
        <f t="shared" si="0"/>
        <v>56329.466712999994</v>
      </c>
      <c r="AI4" s="8">
        <f t="shared" si="1"/>
        <v>3934.836712999997</v>
      </c>
      <c r="AJ4" s="8">
        <f t="shared" si="2"/>
        <v>55229.179483</v>
      </c>
      <c r="AK4" s="8">
        <f t="shared" si="3"/>
        <v>2834.5494830000025</v>
      </c>
    </row>
    <row r="5" spans="1:37" x14ac:dyDescent="0.3">
      <c r="A5" s="1">
        <v>4</v>
      </c>
      <c r="B5" s="2" t="s">
        <v>62</v>
      </c>
      <c r="C5" s="2" t="s">
        <v>63</v>
      </c>
      <c r="D5" s="2" t="s">
        <v>28</v>
      </c>
      <c r="E5" s="1">
        <v>0</v>
      </c>
      <c r="F5" s="2" t="s">
        <v>64</v>
      </c>
      <c r="G5" s="2" t="s">
        <v>65</v>
      </c>
      <c r="H5" s="2" t="s">
        <v>66</v>
      </c>
      <c r="I5" s="2" t="s">
        <v>32</v>
      </c>
      <c r="J5" s="2" t="s">
        <v>31</v>
      </c>
      <c r="K5" s="10" t="s">
        <v>31</v>
      </c>
      <c r="L5" s="2" t="s">
        <v>67</v>
      </c>
      <c r="M5" s="2" t="s">
        <v>68</v>
      </c>
      <c r="N5" s="2" t="s">
        <v>69</v>
      </c>
      <c r="O5" s="2" t="s">
        <v>31</v>
      </c>
      <c r="P5" s="2" t="s">
        <v>70</v>
      </c>
      <c r="Q5" s="2" t="s">
        <v>71</v>
      </c>
      <c r="R5" s="2" t="s">
        <v>48</v>
      </c>
      <c r="S5" s="2" t="s">
        <v>31</v>
      </c>
      <c r="T5" s="2" t="s">
        <v>72</v>
      </c>
      <c r="U5" s="2">
        <v>4050</v>
      </c>
      <c r="V5" s="10">
        <v>1900</v>
      </c>
      <c r="W5" s="10">
        <v>1652</v>
      </c>
      <c r="X5" s="11">
        <v>1</v>
      </c>
      <c r="Y5" s="11">
        <v>0</v>
      </c>
      <c r="Z5" s="2" t="s">
        <v>40</v>
      </c>
      <c r="AA5" s="2" t="s">
        <v>73</v>
      </c>
      <c r="AB5" s="3">
        <v>31834</v>
      </c>
      <c r="AC5" s="2">
        <v>700000</v>
      </c>
      <c r="AD5" s="2" t="s">
        <v>39</v>
      </c>
      <c r="AE5" s="2">
        <v>0</v>
      </c>
      <c r="AF5" s="4">
        <v>1577800</v>
      </c>
      <c r="AG5" s="8">
        <v>27075.05</v>
      </c>
      <c r="AH5" s="8">
        <f t="shared" si="0"/>
        <v>29108.386254999998</v>
      </c>
      <c r="AI5" s="8">
        <f t="shared" si="1"/>
        <v>2033.3362549999983</v>
      </c>
      <c r="AJ5" s="8">
        <f t="shared" si="2"/>
        <v>28539.810205000002</v>
      </c>
      <c r="AK5" s="8">
        <f t="shared" si="3"/>
        <v>1464.7602050000023</v>
      </c>
    </row>
    <row r="6" spans="1:37" x14ac:dyDescent="0.3">
      <c r="A6" s="1">
        <v>5</v>
      </c>
      <c r="B6" s="2" t="s">
        <v>74</v>
      </c>
      <c r="C6" s="2" t="s">
        <v>63</v>
      </c>
      <c r="D6" s="2" t="s">
        <v>28</v>
      </c>
      <c r="E6" s="1">
        <v>0</v>
      </c>
      <c r="F6" s="2" t="s">
        <v>75</v>
      </c>
      <c r="G6" s="2" t="s">
        <v>76</v>
      </c>
      <c r="H6" s="2" t="s">
        <v>31</v>
      </c>
      <c r="I6" s="2" t="s">
        <v>32</v>
      </c>
      <c r="J6" s="2" t="s">
        <v>31</v>
      </c>
      <c r="K6" s="10" t="s">
        <v>31</v>
      </c>
      <c r="L6" s="2" t="s">
        <v>67</v>
      </c>
      <c r="M6" s="2" t="s">
        <v>68</v>
      </c>
      <c r="N6" s="2" t="s">
        <v>69</v>
      </c>
      <c r="O6" s="2" t="s">
        <v>31</v>
      </c>
      <c r="P6" s="2" t="s">
        <v>70</v>
      </c>
      <c r="Q6" s="2" t="s">
        <v>71</v>
      </c>
      <c r="R6" s="2" t="s">
        <v>48</v>
      </c>
      <c r="S6" s="2" t="s">
        <v>31</v>
      </c>
      <c r="T6" s="2" t="s">
        <v>72</v>
      </c>
      <c r="U6" s="2">
        <v>7726</v>
      </c>
      <c r="V6" s="10">
        <v>1940</v>
      </c>
      <c r="W6" s="10">
        <v>2300</v>
      </c>
      <c r="X6" s="11">
        <v>1</v>
      </c>
      <c r="Y6" s="11">
        <v>0</v>
      </c>
      <c r="Z6" s="2" t="s">
        <v>40</v>
      </c>
      <c r="AA6" s="2" t="s">
        <v>73</v>
      </c>
      <c r="AB6" s="3">
        <v>31834</v>
      </c>
      <c r="AC6" s="2">
        <v>700000</v>
      </c>
      <c r="AD6" s="2" t="s">
        <v>39</v>
      </c>
      <c r="AE6" s="2">
        <v>0</v>
      </c>
      <c r="AF6" s="4">
        <v>2213700</v>
      </c>
      <c r="AG6" s="8">
        <v>37987.089999999997</v>
      </c>
      <c r="AH6" s="8">
        <f t="shared" si="0"/>
        <v>40839.920458999994</v>
      </c>
      <c r="AI6" s="8">
        <f t="shared" si="1"/>
        <v>2852.8304589999971</v>
      </c>
      <c r="AJ6" s="8">
        <f t="shared" si="2"/>
        <v>40042.191568999995</v>
      </c>
      <c r="AK6" s="8">
        <f t="shared" si="3"/>
        <v>2055.1015689999986</v>
      </c>
    </row>
    <row r="7" spans="1:37" x14ac:dyDescent="0.3">
      <c r="A7" s="1">
        <v>6</v>
      </c>
      <c r="B7" s="2" t="s">
        <v>77</v>
      </c>
      <c r="C7" s="2" t="s">
        <v>78</v>
      </c>
      <c r="D7" s="2" t="s">
        <v>28</v>
      </c>
      <c r="E7" s="1">
        <v>0</v>
      </c>
      <c r="F7" s="2" t="s">
        <v>79</v>
      </c>
      <c r="G7" s="2" t="s">
        <v>80</v>
      </c>
      <c r="H7" s="2" t="s">
        <v>31</v>
      </c>
      <c r="I7" s="2" t="s">
        <v>32</v>
      </c>
      <c r="J7" s="2" t="s">
        <v>31</v>
      </c>
      <c r="K7" s="10" t="s">
        <v>31</v>
      </c>
      <c r="L7" s="2" t="s">
        <v>81</v>
      </c>
      <c r="M7" s="2" t="s">
        <v>82</v>
      </c>
      <c r="N7" s="2" t="s">
        <v>83</v>
      </c>
      <c r="O7" s="2" t="s">
        <v>84</v>
      </c>
      <c r="P7" s="2" t="s">
        <v>85</v>
      </c>
      <c r="Q7" s="2" t="s">
        <v>86</v>
      </c>
      <c r="R7" s="2" t="s">
        <v>48</v>
      </c>
      <c r="S7" s="2" t="s">
        <v>31</v>
      </c>
      <c r="T7" s="2" t="s">
        <v>87</v>
      </c>
      <c r="U7" s="2">
        <v>25924</v>
      </c>
      <c r="V7" s="10">
        <v>1900</v>
      </c>
      <c r="W7" s="10">
        <v>13049.12</v>
      </c>
      <c r="X7" s="11">
        <v>3</v>
      </c>
      <c r="Y7" s="11">
        <v>0</v>
      </c>
      <c r="Z7" s="2" t="s">
        <v>40</v>
      </c>
      <c r="AA7" s="2" t="s">
        <v>88</v>
      </c>
      <c r="AB7" s="3">
        <v>39596</v>
      </c>
      <c r="AC7" s="2">
        <v>1</v>
      </c>
      <c r="AD7" s="2" t="s">
        <v>39</v>
      </c>
      <c r="AE7" s="2">
        <v>0</v>
      </c>
      <c r="AF7" s="4">
        <v>8949000</v>
      </c>
      <c r="AG7" s="8">
        <v>153564.84</v>
      </c>
      <c r="AH7" s="8">
        <f t="shared" si="0"/>
        <v>165097.559484</v>
      </c>
      <c r="AI7" s="8">
        <f t="shared" si="1"/>
        <v>11532.719484000001</v>
      </c>
      <c r="AJ7" s="8">
        <f t="shared" si="2"/>
        <v>161872.69784400001</v>
      </c>
      <c r="AK7" s="8">
        <f t="shared" si="3"/>
        <v>8307.8578440000128</v>
      </c>
    </row>
    <row r="8" spans="1:37" x14ac:dyDescent="0.3">
      <c r="A8" s="1">
        <v>8</v>
      </c>
      <c r="B8" s="2" t="s">
        <v>89</v>
      </c>
      <c r="C8" s="2" t="s">
        <v>90</v>
      </c>
      <c r="D8" s="2" t="s">
        <v>28</v>
      </c>
      <c r="E8" s="1">
        <v>0</v>
      </c>
      <c r="F8" s="2" t="s">
        <v>91</v>
      </c>
      <c r="G8" s="2" t="s">
        <v>92</v>
      </c>
      <c r="H8" s="2" t="s">
        <v>31</v>
      </c>
      <c r="I8" s="2" t="s">
        <v>32</v>
      </c>
      <c r="J8" s="2" t="s">
        <v>93</v>
      </c>
      <c r="K8" s="10" t="s">
        <v>2822</v>
      </c>
      <c r="L8" s="2" t="s">
        <v>94</v>
      </c>
      <c r="M8" s="2" t="s">
        <v>31</v>
      </c>
      <c r="N8" s="2" t="s">
        <v>31</v>
      </c>
      <c r="O8" s="2" t="s">
        <v>31</v>
      </c>
      <c r="P8" s="2" t="s">
        <v>95</v>
      </c>
      <c r="Q8" s="2" t="s">
        <v>96</v>
      </c>
      <c r="R8" s="2" t="s">
        <v>48</v>
      </c>
      <c r="S8" s="2" t="s">
        <v>31</v>
      </c>
      <c r="T8" s="2" t="s">
        <v>97</v>
      </c>
      <c r="U8" s="2">
        <v>0</v>
      </c>
      <c r="V8" s="10">
        <v>1898</v>
      </c>
      <c r="W8" s="10">
        <v>1488</v>
      </c>
      <c r="X8" s="11">
        <v>2</v>
      </c>
      <c r="Y8" s="11">
        <v>0</v>
      </c>
      <c r="Z8" s="2" t="s">
        <v>31</v>
      </c>
      <c r="AA8" s="2" t="s">
        <v>98</v>
      </c>
      <c r="AB8" s="3">
        <v>42614</v>
      </c>
      <c r="AC8" s="2">
        <v>941000</v>
      </c>
      <c r="AD8" s="2" t="s">
        <v>39</v>
      </c>
      <c r="AE8" s="2">
        <v>4.08</v>
      </c>
      <c r="AF8" s="4">
        <v>1151600</v>
      </c>
      <c r="AG8" s="8">
        <v>19761.46</v>
      </c>
      <c r="AH8" s="8">
        <f t="shared" si="0"/>
        <v>21245.545645999999</v>
      </c>
      <c r="AI8" s="8">
        <f t="shared" si="1"/>
        <v>1484.0856459999995</v>
      </c>
      <c r="AJ8" s="8">
        <f t="shared" si="2"/>
        <v>20830.554985999999</v>
      </c>
      <c r="AK8" s="8">
        <f t="shared" si="3"/>
        <v>1069.0949860000001</v>
      </c>
    </row>
    <row r="9" spans="1:37" x14ac:dyDescent="0.3">
      <c r="A9" s="1">
        <v>9</v>
      </c>
      <c r="B9" s="2" t="s">
        <v>99</v>
      </c>
      <c r="C9" s="2" t="s">
        <v>100</v>
      </c>
      <c r="D9" s="2" t="s">
        <v>101</v>
      </c>
      <c r="E9" s="1">
        <v>1</v>
      </c>
      <c r="F9" s="2" t="s">
        <v>102</v>
      </c>
      <c r="G9" s="2" t="s">
        <v>92</v>
      </c>
      <c r="H9" s="2" t="s">
        <v>31</v>
      </c>
      <c r="I9" s="2" t="s">
        <v>32</v>
      </c>
      <c r="J9" s="2" t="s">
        <v>66</v>
      </c>
      <c r="K9" s="10" t="s">
        <v>2822</v>
      </c>
      <c r="L9" s="2" t="s">
        <v>103</v>
      </c>
      <c r="M9" s="2" t="s">
        <v>104</v>
      </c>
      <c r="N9" s="2" t="s">
        <v>31</v>
      </c>
      <c r="O9" s="2" t="s">
        <v>31</v>
      </c>
      <c r="P9" s="2" t="s">
        <v>105</v>
      </c>
      <c r="Q9" s="2" t="s">
        <v>59</v>
      </c>
      <c r="R9" s="2" t="s">
        <v>48</v>
      </c>
      <c r="S9" s="2" t="s">
        <v>31</v>
      </c>
      <c r="T9" s="2" t="s">
        <v>60</v>
      </c>
      <c r="U9" s="2">
        <v>0</v>
      </c>
      <c r="V9" s="10">
        <v>1898</v>
      </c>
      <c r="W9" s="10">
        <v>901</v>
      </c>
      <c r="X9" s="11">
        <v>0</v>
      </c>
      <c r="Y9" s="11">
        <v>1</v>
      </c>
      <c r="Z9" s="2" t="s">
        <v>31</v>
      </c>
      <c r="AA9" s="2" t="s">
        <v>106</v>
      </c>
      <c r="AB9" s="3">
        <v>45499</v>
      </c>
      <c r="AC9" s="2">
        <v>560000</v>
      </c>
      <c r="AD9" s="2" t="s">
        <v>107</v>
      </c>
      <c r="AE9" s="2">
        <v>2.4500000000000002</v>
      </c>
      <c r="AF9" s="4">
        <v>541600</v>
      </c>
      <c r="AG9" s="8">
        <v>1911.05</v>
      </c>
      <c r="AH9" s="8">
        <f t="shared" si="0"/>
        <v>2054.5698549999997</v>
      </c>
      <c r="AI9" s="8">
        <f t="shared" si="1"/>
        <v>143.51985499999978</v>
      </c>
      <c r="AJ9" s="8">
        <f t="shared" si="2"/>
        <v>2014.437805</v>
      </c>
      <c r="AK9" s="8">
        <f t="shared" si="3"/>
        <v>103.38780500000007</v>
      </c>
    </row>
    <row r="10" spans="1:37" x14ac:dyDescent="0.3">
      <c r="A10" s="1">
        <v>10</v>
      </c>
      <c r="B10" s="2" t="s">
        <v>108</v>
      </c>
      <c r="C10" s="2" t="s">
        <v>100</v>
      </c>
      <c r="D10" s="2" t="s">
        <v>101</v>
      </c>
      <c r="E10" s="1">
        <v>1</v>
      </c>
      <c r="F10" s="2" t="s">
        <v>109</v>
      </c>
      <c r="G10" s="2" t="s">
        <v>92</v>
      </c>
      <c r="H10" s="2" t="s">
        <v>31</v>
      </c>
      <c r="I10" s="2" t="s">
        <v>32</v>
      </c>
      <c r="J10" s="2" t="s">
        <v>110</v>
      </c>
      <c r="K10" s="10" t="s">
        <v>2822</v>
      </c>
      <c r="L10" s="2" t="s">
        <v>111</v>
      </c>
      <c r="M10" s="2" t="s">
        <v>31</v>
      </c>
      <c r="N10" s="2" t="s">
        <v>31</v>
      </c>
      <c r="O10" s="2" t="s">
        <v>31</v>
      </c>
      <c r="P10" s="2" t="s">
        <v>112</v>
      </c>
      <c r="Q10" s="2" t="s">
        <v>113</v>
      </c>
      <c r="R10" s="2" t="s">
        <v>48</v>
      </c>
      <c r="S10" s="2" t="s">
        <v>31</v>
      </c>
      <c r="T10" s="2" t="s">
        <v>114</v>
      </c>
      <c r="U10" s="2">
        <v>0</v>
      </c>
      <c r="V10" s="10">
        <v>1898</v>
      </c>
      <c r="W10" s="10">
        <v>280</v>
      </c>
      <c r="X10" s="11">
        <v>0</v>
      </c>
      <c r="Y10" s="11">
        <v>1</v>
      </c>
      <c r="Z10" s="2" t="s">
        <v>31</v>
      </c>
      <c r="AA10" s="2" t="s">
        <v>115</v>
      </c>
      <c r="AB10" s="3">
        <v>40597</v>
      </c>
      <c r="AC10" s="2">
        <v>100</v>
      </c>
      <c r="AD10" s="2" t="s">
        <v>39</v>
      </c>
      <c r="AE10" s="2">
        <v>1.63</v>
      </c>
      <c r="AF10" s="4">
        <v>289500</v>
      </c>
      <c r="AG10" s="8">
        <v>2964.48</v>
      </c>
      <c r="AH10" s="8">
        <f t="shared" si="0"/>
        <v>3187.1124479999999</v>
      </c>
      <c r="AI10" s="8">
        <f t="shared" si="1"/>
        <v>222.63244799999984</v>
      </c>
      <c r="AJ10" s="8">
        <f t="shared" si="2"/>
        <v>3124.8583680000002</v>
      </c>
      <c r="AK10" s="8">
        <f t="shared" si="3"/>
        <v>160.37836800000014</v>
      </c>
    </row>
    <row r="11" spans="1:37" x14ac:dyDescent="0.3">
      <c r="A11" s="1">
        <v>11</v>
      </c>
      <c r="B11" s="2" t="s">
        <v>116</v>
      </c>
      <c r="C11" s="2" t="s">
        <v>100</v>
      </c>
      <c r="D11" s="2" t="s">
        <v>101</v>
      </c>
      <c r="E11" s="1">
        <v>1</v>
      </c>
      <c r="F11" s="2" t="s">
        <v>117</v>
      </c>
      <c r="G11" s="2" t="s">
        <v>92</v>
      </c>
      <c r="H11" s="2" t="s">
        <v>31</v>
      </c>
      <c r="I11" s="2" t="s">
        <v>32</v>
      </c>
      <c r="J11" s="2" t="s">
        <v>118</v>
      </c>
      <c r="K11" s="10" t="s">
        <v>2822</v>
      </c>
      <c r="L11" s="2" t="s">
        <v>119</v>
      </c>
      <c r="M11" s="2" t="s">
        <v>120</v>
      </c>
      <c r="N11" s="2" t="s">
        <v>31</v>
      </c>
      <c r="O11" s="2" t="s">
        <v>31</v>
      </c>
      <c r="P11" s="2" t="s">
        <v>121</v>
      </c>
      <c r="Q11" s="2" t="s">
        <v>59</v>
      </c>
      <c r="R11" s="2" t="s">
        <v>48</v>
      </c>
      <c r="S11" s="2" t="s">
        <v>31</v>
      </c>
      <c r="T11" s="2" t="s">
        <v>60</v>
      </c>
      <c r="U11" s="2">
        <v>0</v>
      </c>
      <c r="V11" s="10">
        <v>1898</v>
      </c>
      <c r="W11" s="10">
        <v>835</v>
      </c>
      <c r="X11" s="11">
        <v>0</v>
      </c>
      <c r="Y11" s="11">
        <v>1</v>
      </c>
      <c r="Z11" s="2" t="s">
        <v>31</v>
      </c>
      <c r="AA11" s="2" t="s">
        <v>122</v>
      </c>
      <c r="AB11" s="3">
        <v>44924</v>
      </c>
      <c r="AC11" s="2">
        <v>410000</v>
      </c>
      <c r="AD11" s="2" t="s">
        <v>107</v>
      </c>
      <c r="AE11" s="2">
        <v>1.96</v>
      </c>
      <c r="AF11" s="4">
        <v>491000</v>
      </c>
      <c r="AG11" s="8">
        <v>1392.91</v>
      </c>
      <c r="AH11" s="8">
        <f t="shared" si="0"/>
        <v>1497.5175409999999</v>
      </c>
      <c r="AI11" s="8">
        <f t="shared" si="1"/>
        <v>104.60754099999986</v>
      </c>
      <c r="AJ11" s="8">
        <f t="shared" si="2"/>
        <v>1468.2664310000002</v>
      </c>
      <c r="AK11" s="8">
        <f t="shared" si="3"/>
        <v>75.356431000000157</v>
      </c>
    </row>
    <row r="12" spans="1:37" x14ac:dyDescent="0.3">
      <c r="A12" s="1">
        <v>12</v>
      </c>
      <c r="B12" s="2" t="s">
        <v>123</v>
      </c>
      <c r="C12" s="2" t="s">
        <v>100</v>
      </c>
      <c r="D12" s="2" t="s">
        <v>101</v>
      </c>
      <c r="E12" s="1">
        <v>1</v>
      </c>
      <c r="F12" s="2" t="s">
        <v>124</v>
      </c>
      <c r="G12" s="2" t="s">
        <v>92</v>
      </c>
      <c r="H12" s="2" t="s">
        <v>31</v>
      </c>
      <c r="I12" s="2" t="s">
        <v>32</v>
      </c>
      <c r="J12" s="2" t="s">
        <v>125</v>
      </c>
      <c r="K12" s="10" t="s">
        <v>2822</v>
      </c>
      <c r="L12" s="2" t="s">
        <v>126</v>
      </c>
      <c r="M12" s="2" t="s">
        <v>127</v>
      </c>
      <c r="N12" s="2" t="s">
        <v>128</v>
      </c>
      <c r="O12" s="2" t="s">
        <v>129</v>
      </c>
      <c r="P12" s="2" t="s">
        <v>130</v>
      </c>
      <c r="Q12" s="2" t="s">
        <v>59</v>
      </c>
      <c r="R12" s="2" t="s">
        <v>48</v>
      </c>
      <c r="S12" s="2" t="s">
        <v>31</v>
      </c>
      <c r="T12" s="2" t="s">
        <v>60</v>
      </c>
      <c r="U12" s="2">
        <v>0</v>
      </c>
      <c r="V12" s="10">
        <v>1898</v>
      </c>
      <c r="W12" s="10">
        <v>1094</v>
      </c>
      <c r="X12" s="11">
        <v>0</v>
      </c>
      <c r="Y12" s="11">
        <v>1</v>
      </c>
      <c r="Z12" s="2" t="s">
        <v>31</v>
      </c>
      <c r="AA12" s="2" t="s">
        <v>131</v>
      </c>
      <c r="AB12" s="3">
        <v>43405</v>
      </c>
      <c r="AC12" s="2">
        <v>838000</v>
      </c>
      <c r="AD12" s="2" t="s">
        <v>39</v>
      </c>
      <c r="AE12" s="2">
        <v>4.08</v>
      </c>
      <c r="AF12" s="4">
        <v>846400</v>
      </c>
      <c r="AG12" s="8">
        <v>8667.14</v>
      </c>
      <c r="AH12" s="8">
        <f t="shared" si="0"/>
        <v>9318.0422139999991</v>
      </c>
      <c r="AI12" s="8">
        <f t="shared" si="1"/>
        <v>650.90221399999973</v>
      </c>
      <c r="AJ12" s="8">
        <f t="shared" si="2"/>
        <v>9136.0322739999992</v>
      </c>
      <c r="AK12" s="8">
        <f t="shared" si="3"/>
        <v>468.89227399999982</v>
      </c>
    </row>
    <row r="13" spans="1:37" x14ac:dyDescent="0.3">
      <c r="A13" s="1">
        <v>13</v>
      </c>
      <c r="B13" s="2" t="s">
        <v>132</v>
      </c>
      <c r="C13" s="2" t="s">
        <v>100</v>
      </c>
      <c r="D13" s="2" t="s">
        <v>101</v>
      </c>
      <c r="E13" s="1">
        <v>1</v>
      </c>
      <c r="F13" s="2" t="s">
        <v>133</v>
      </c>
      <c r="G13" s="2" t="s">
        <v>92</v>
      </c>
      <c r="H13" s="2" t="s">
        <v>31</v>
      </c>
      <c r="I13" s="2" t="s">
        <v>32</v>
      </c>
      <c r="J13" s="2" t="s">
        <v>134</v>
      </c>
      <c r="K13" s="10" t="s">
        <v>2822</v>
      </c>
      <c r="L13" s="2" t="s">
        <v>135</v>
      </c>
      <c r="M13" s="2" t="s">
        <v>136</v>
      </c>
      <c r="N13" s="2" t="s">
        <v>137</v>
      </c>
      <c r="O13" s="2" t="s">
        <v>138</v>
      </c>
      <c r="P13" s="2" t="s">
        <v>139</v>
      </c>
      <c r="Q13" s="2" t="s">
        <v>47</v>
      </c>
      <c r="R13" s="2" t="s">
        <v>48</v>
      </c>
      <c r="S13" s="2" t="s">
        <v>31</v>
      </c>
      <c r="T13" s="2" t="s">
        <v>49</v>
      </c>
      <c r="U13" s="2">
        <v>0</v>
      </c>
      <c r="V13" s="10">
        <v>1898</v>
      </c>
      <c r="W13" s="10">
        <v>1191</v>
      </c>
      <c r="X13" s="11">
        <v>0</v>
      </c>
      <c r="Y13" s="11">
        <v>1</v>
      </c>
      <c r="Z13" s="2" t="s">
        <v>31</v>
      </c>
      <c r="AA13" s="2" t="s">
        <v>140</v>
      </c>
      <c r="AB13" s="3">
        <v>39461</v>
      </c>
      <c r="AC13" s="2">
        <v>10</v>
      </c>
      <c r="AD13" s="2" t="s">
        <v>39</v>
      </c>
      <c r="AE13" s="2">
        <v>4.49</v>
      </c>
      <c r="AF13" s="4">
        <v>865100</v>
      </c>
      <c r="AG13" s="8">
        <v>8858.6200000000008</v>
      </c>
      <c r="AH13" s="8">
        <f t="shared" si="0"/>
        <v>9523.9023620000007</v>
      </c>
      <c r="AI13" s="8">
        <f t="shared" si="1"/>
        <v>665.28236199999992</v>
      </c>
      <c r="AJ13" s="8">
        <f t="shared" si="2"/>
        <v>9337.8713420000004</v>
      </c>
      <c r="AK13" s="8">
        <f t="shared" si="3"/>
        <v>479.25134199999957</v>
      </c>
    </row>
    <row r="14" spans="1:37" x14ac:dyDescent="0.3">
      <c r="A14" s="1">
        <v>14</v>
      </c>
      <c r="B14" s="2" t="s">
        <v>141</v>
      </c>
      <c r="C14" s="2" t="s">
        <v>100</v>
      </c>
      <c r="D14" s="2" t="s">
        <v>101</v>
      </c>
      <c r="E14" s="1">
        <v>1</v>
      </c>
      <c r="F14" s="2" t="s">
        <v>142</v>
      </c>
      <c r="G14" s="2" t="s">
        <v>92</v>
      </c>
      <c r="H14" s="2" t="s">
        <v>31</v>
      </c>
      <c r="I14" s="2" t="s">
        <v>32</v>
      </c>
      <c r="J14" s="2" t="s">
        <v>100</v>
      </c>
      <c r="K14" s="10" t="s">
        <v>2822</v>
      </c>
      <c r="L14" s="2" t="s">
        <v>143</v>
      </c>
      <c r="M14" s="2" t="s">
        <v>144</v>
      </c>
      <c r="N14" s="2" t="s">
        <v>145</v>
      </c>
      <c r="O14" s="2" t="s">
        <v>146</v>
      </c>
      <c r="P14" s="2" t="s">
        <v>147</v>
      </c>
      <c r="Q14" s="2" t="s">
        <v>148</v>
      </c>
      <c r="R14" s="2" t="s">
        <v>48</v>
      </c>
      <c r="S14" s="2" t="s">
        <v>31</v>
      </c>
      <c r="T14" s="2" t="s">
        <v>149</v>
      </c>
      <c r="U14" s="2">
        <v>0</v>
      </c>
      <c r="V14" s="10">
        <v>1898</v>
      </c>
      <c r="W14" s="10">
        <v>345</v>
      </c>
      <c r="X14" s="11">
        <v>0</v>
      </c>
      <c r="Y14" s="11">
        <v>1</v>
      </c>
      <c r="Z14" s="2" t="s">
        <v>31</v>
      </c>
      <c r="AA14" s="2" t="s">
        <v>150</v>
      </c>
      <c r="AB14" s="3">
        <v>33599</v>
      </c>
      <c r="AC14" s="2">
        <v>30000</v>
      </c>
      <c r="AD14" s="2" t="s">
        <v>39</v>
      </c>
      <c r="AE14" s="2">
        <v>1.84</v>
      </c>
      <c r="AF14" s="4">
        <v>337900</v>
      </c>
      <c r="AG14" s="8">
        <v>3460.1</v>
      </c>
      <c r="AH14" s="8">
        <f t="shared" si="0"/>
        <v>3719.9535099999998</v>
      </c>
      <c r="AI14" s="8">
        <f t="shared" si="1"/>
        <v>259.85350999999991</v>
      </c>
      <c r="AJ14" s="8">
        <f t="shared" si="2"/>
        <v>3647.2914099999998</v>
      </c>
      <c r="AK14" s="8">
        <f t="shared" si="3"/>
        <v>187.19140999999991</v>
      </c>
    </row>
    <row r="15" spans="1:37" x14ac:dyDescent="0.3">
      <c r="A15" s="1">
        <v>15</v>
      </c>
      <c r="B15" s="2" t="s">
        <v>151</v>
      </c>
      <c r="C15" s="2" t="s">
        <v>152</v>
      </c>
      <c r="D15" s="2" t="s">
        <v>28</v>
      </c>
      <c r="E15" s="1">
        <v>0</v>
      </c>
      <c r="F15" s="2" t="s">
        <v>153</v>
      </c>
      <c r="G15" s="2" t="s">
        <v>92</v>
      </c>
      <c r="H15" s="2" t="s">
        <v>31</v>
      </c>
      <c r="I15" s="2" t="s">
        <v>32</v>
      </c>
      <c r="J15" s="2" t="s">
        <v>154</v>
      </c>
      <c r="K15" s="10" t="s">
        <v>2822</v>
      </c>
      <c r="L15" s="2" t="s">
        <v>155</v>
      </c>
      <c r="M15" s="2" t="s">
        <v>156</v>
      </c>
      <c r="N15" s="2" t="s">
        <v>31</v>
      </c>
      <c r="O15" s="2" t="s">
        <v>31</v>
      </c>
      <c r="P15" s="2" t="s">
        <v>157</v>
      </c>
      <c r="Q15" s="2" t="s">
        <v>158</v>
      </c>
      <c r="R15" s="2" t="s">
        <v>48</v>
      </c>
      <c r="S15" s="2" t="s">
        <v>31</v>
      </c>
      <c r="T15" s="2" t="s">
        <v>159</v>
      </c>
      <c r="U15" s="2">
        <v>0</v>
      </c>
      <c r="V15" s="10">
        <v>1898</v>
      </c>
      <c r="W15" s="10">
        <v>1615</v>
      </c>
      <c r="X15" s="11">
        <v>1</v>
      </c>
      <c r="Y15" s="11">
        <v>0</v>
      </c>
      <c r="Z15" s="2" t="s">
        <v>31</v>
      </c>
      <c r="AA15" s="2" t="s">
        <v>160</v>
      </c>
      <c r="AB15" s="3">
        <v>44043</v>
      </c>
      <c r="AC15" s="2">
        <v>1</v>
      </c>
      <c r="AD15" s="2" t="s">
        <v>39</v>
      </c>
      <c r="AE15" s="2">
        <v>5.1100000000000003</v>
      </c>
      <c r="AF15" s="4">
        <v>1179200</v>
      </c>
      <c r="AG15" s="8">
        <v>20235.07</v>
      </c>
      <c r="AH15" s="8">
        <f t="shared" si="0"/>
        <v>21754.723757</v>
      </c>
      <c r="AI15" s="8">
        <f t="shared" si="1"/>
        <v>1519.653757</v>
      </c>
      <c r="AJ15" s="8">
        <f t="shared" si="2"/>
        <v>21329.787286999999</v>
      </c>
      <c r="AK15" s="8">
        <f t="shared" si="3"/>
        <v>1094.7172869999995</v>
      </c>
    </row>
    <row r="16" spans="1:37" x14ac:dyDescent="0.3">
      <c r="A16" s="1">
        <v>16</v>
      </c>
      <c r="B16" s="2" t="s">
        <v>161</v>
      </c>
      <c r="C16" s="2" t="s">
        <v>100</v>
      </c>
      <c r="D16" s="2" t="s">
        <v>101</v>
      </c>
      <c r="E16" s="1">
        <v>1</v>
      </c>
      <c r="F16" s="2" t="s">
        <v>162</v>
      </c>
      <c r="G16" s="2" t="s">
        <v>92</v>
      </c>
      <c r="H16" s="2" t="s">
        <v>31</v>
      </c>
      <c r="I16" s="2" t="s">
        <v>32</v>
      </c>
      <c r="J16" s="2" t="s">
        <v>163</v>
      </c>
      <c r="K16" s="10" t="s">
        <v>2822</v>
      </c>
      <c r="L16" s="2" t="s">
        <v>164</v>
      </c>
      <c r="M16" s="2" t="s">
        <v>165</v>
      </c>
      <c r="N16" s="2" t="s">
        <v>31</v>
      </c>
      <c r="O16" s="2" t="s">
        <v>31</v>
      </c>
      <c r="P16" s="2" t="s">
        <v>166</v>
      </c>
      <c r="Q16" s="2" t="s">
        <v>59</v>
      </c>
      <c r="R16" s="2" t="s">
        <v>48</v>
      </c>
      <c r="S16" s="2" t="s">
        <v>31</v>
      </c>
      <c r="T16" s="2" t="s">
        <v>60</v>
      </c>
      <c r="U16" s="2">
        <v>0</v>
      </c>
      <c r="V16" s="10">
        <v>1898</v>
      </c>
      <c r="W16" s="10">
        <v>1053</v>
      </c>
      <c r="X16" s="11">
        <v>0</v>
      </c>
      <c r="Y16" s="11">
        <v>1</v>
      </c>
      <c r="Z16" s="2" t="s">
        <v>31</v>
      </c>
      <c r="AA16" s="2" t="s">
        <v>167</v>
      </c>
      <c r="AB16" s="3">
        <v>45832</v>
      </c>
      <c r="AC16" s="2">
        <v>959000</v>
      </c>
      <c r="AD16" s="2" t="s">
        <v>39</v>
      </c>
      <c r="AE16" s="2">
        <v>4.6900000000000004</v>
      </c>
      <c r="AF16" s="4">
        <v>818600</v>
      </c>
      <c r="AG16" s="8">
        <v>8382.4599999999991</v>
      </c>
      <c r="AH16" s="8">
        <f t="shared" si="0"/>
        <v>9011.9827459999979</v>
      </c>
      <c r="AI16" s="8">
        <f t="shared" si="1"/>
        <v>629.52274599999873</v>
      </c>
      <c r="AJ16" s="8">
        <f t="shared" si="2"/>
        <v>8835.9510859999991</v>
      </c>
      <c r="AK16" s="8">
        <f t="shared" si="3"/>
        <v>453.491086</v>
      </c>
    </row>
    <row r="17" spans="1:37" x14ac:dyDescent="0.3">
      <c r="A17" s="1">
        <v>17</v>
      </c>
      <c r="B17" s="2" t="s">
        <v>168</v>
      </c>
      <c r="C17" s="2" t="s">
        <v>100</v>
      </c>
      <c r="D17" s="2" t="s">
        <v>101</v>
      </c>
      <c r="E17" s="1">
        <v>1</v>
      </c>
      <c r="F17" s="2" t="s">
        <v>169</v>
      </c>
      <c r="G17" s="2" t="s">
        <v>92</v>
      </c>
      <c r="H17" s="2" t="s">
        <v>31</v>
      </c>
      <c r="I17" s="2" t="s">
        <v>32</v>
      </c>
      <c r="J17" s="2" t="s">
        <v>170</v>
      </c>
      <c r="K17" s="10" t="s">
        <v>2822</v>
      </c>
      <c r="L17" s="2" t="s">
        <v>171</v>
      </c>
      <c r="M17" s="2" t="s">
        <v>172</v>
      </c>
      <c r="N17" s="2" t="s">
        <v>173</v>
      </c>
      <c r="O17" s="2" t="s">
        <v>174</v>
      </c>
      <c r="P17" s="2" t="s">
        <v>175</v>
      </c>
      <c r="Q17" s="2" t="s">
        <v>59</v>
      </c>
      <c r="R17" s="2" t="s">
        <v>48</v>
      </c>
      <c r="S17" s="2" t="s">
        <v>31</v>
      </c>
      <c r="T17" s="2" t="s">
        <v>60</v>
      </c>
      <c r="U17" s="2">
        <v>0</v>
      </c>
      <c r="V17" s="10">
        <v>1898</v>
      </c>
      <c r="W17" s="10">
        <v>1152</v>
      </c>
      <c r="X17" s="11">
        <v>0</v>
      </c>
      <c r="Y17" s="11">
        <v>1</v>
      </c>
      <c r="Z17" s="2" t="s">
        <v>31</v>
      </c>
      <c r="AA17" s="2" t="s">
        <v>176</v>
      </c>
      <c r="AB17" s="3">
        <v>43770</v>
      </c>
      <c r="AC17" s="2">
        <v>1</v>
      </c>
      <c r="AD17" s="2" t="s">
        <v>107</v>
      </c>
      <c r="AE17" s="2">
        <v>4.33</v>
      </c>
      <c r="AF17" s="4">
        <v>917300</v>
      </c>
      <c r="AG17" s="8">
        <v>5758.22</v>
      </c>
      <c r="AH17" s="8">
        <f t="shared" si="0"/>
        <v>6190.6623220000001</v>
      </c>
      <c r="AI17" s="8">
        <f t="shared" si="1"/>
        <v>432.44232199999988</v>
      </c>
      <c r="AJ17" s="8">
        <f t="shared" si="2"/>
        <v>6069.7397020000008</v>
      </c>
      <c r="AK17" s="8">
        <f t="shared" si="3"/>
        <v>311.51970200000051</v>
      </c>
    </row>
    <row r="18" spans="1:37" x14ac:dyDescent="0.3">
      <c r="A18" s="1">
        <v>18</v>
      </c>
      <c r="B18" s="2" t="s">
        <v>177</v>
      </c>
      <c r="C18" s="2" t="s">
        <v>100</v>
      </c>
      <c r="D18" s="2" t="s">
        <v>101</v>
      </c>
      <c r="E18" s="1">
        <v>1</v>
      </c>
      <c r="F18" s="2" t="s">
        <v>178</v>
      </c>
      <c r="G18" s="2" t="s">
        <v>92</v>
      </c>
      <c r="H18" s="2" t="s">
        <v>31</v>
      </c>
      <c r="I18" s="2" t="s">
        <v>32</v>
      </c>
      <c r="J18" s="2" t="s">
        <v>179</v>
      </c>
      <c r="K18" s="10" t="s">
        <v>2822</v>
      </c>
      <c r="L18" s="2" t="s">
        <v>180</v>
      </c>
      <c r="M18" s="2" t="s">
        <v>181</v>
      </c>
      <c r="N18" s="2" t="s">
        <v>31</v>
      </c>
      <c r="O18" s="2" t="s">
        <v>31</v>
      </c>
      <c r="P18" s="2" t="s">
        <v>182</v>
      </c>
      <c r="Q18" s="2" t="s">
        <v>183</v>
      </c>
      <c r="R18" s="2" t="s">
        <v>48</v>
      </c>
      <c r="S18" s="2" t="s">
        <v>31</v>
      </c>
      <c r="T18" s="2" t="s">
        <v>184</v>
      </c>
      <c r="U18" s="2">
        <v>0</v>
      </c>
      <c r="V18" s="10">
        <v>1898</v>
      </c>
      <c r="W18" s="10">
        <v>1177</v>
      </c>
      <c r="X18" s="11">
        <v>0</v>
      </c>
      <c r="Y18" s="11">
        <v>1</v>
      </c>
      <c r="Z18" s="2" t="s">
        <v>31</v>
      </c>
      <c r="AA18" s="2" t="s">
        <v>185</v>
      </c>
      <c r="AB18" s="3">
        <v>42849</v>
      </c>
      <c r="AC18" s="2">
        <v>10</v>
      </c>
      <c r="AD18" s="2" t="s">
        <v>39</v>
      </c>
      <c r="AE18" s="2">
        <v>4.53</v>
      </c>
      <c r="AF18" s="4">
        <v>858200</v>
      </c>
      <c r="AG18" s="8">
        <v>8787.9699999999993</v>
      </c>
      <c r="AH18" s="8">
        <f t="shared" si="0"/>
        <v>9447.9465469999996</v>
      </c>
      <c r="AI18" s="8">
        <f t="shared" si="1"/>
        <v>659.97654700000021</v>
      </c>
      <c r="AJ18" s="8">
        <f t="shared" si="2"/>
        <v>9263.3991769999993</v>
      </c>
      <c r="AK18" s="8">
        <f t="shared" si="3"/>
        <v>475.42917699999998</v>
      </c>
    </row>
    <row r="19" spans="1:37" x14ac:dyDescent="0.3">
      <c r="A19" s="1">
        <v>19</v>
      </c>
      <c r="B19" s="2" t="s">
        <v>186</v>
      </c>
      <c r="C19" s="2" t="s">
        <v>100</v>
      </c>
      <c r="D19" s="2" t="s">
        <v>101</v>
      </c>
      <c r="E19" s="1">
        <v>1</v>
      </c>
      <c r="F19" s="2" t="s">
        <v>187</v>
      </c>
      <c r="G19" s="2" t="s">
        <v>92</v>
      </c>
      <c r="H19" s="2" t="s">
        <v>31</v>
      </c>
      <c r="I19" s="2" t="s">
        <v>32</v>
      </c>
      <c r="J19" s="2" t="s">
        <v>188</v>
      </c>
      <c r="K19" s="10" t="s">
        <v>2822</v>
      </c>
      <c r="L19" s="2" t="s">
        <v>189</v>
      </c>
      <c r="M19" s="2" t="s">
        <v>190</v>
      </c>
      <c r="N19" s="2" t="s">
        <v>31</v>
      </c>
      <c r="O19" s="2" t="s">
        <v>31</v>
      </c>
      <c r="P19" s="2" t="s">
        <v>191</v>
      </c>
      <c r="Q19" s="2" t="s">
        <v>59</v>
      </c>
      <c r="R19" s="2" t="s">
        <v>48</v>
      </c>
      <c r="S19" s="2" t="s">
        <v>31</v>
      </c>
      <c r="T19" s="2" t="s">
        <v>60</v>
      </c>
      <c r="U19" s="2">
        <v>0</v>
      </c>
      <c r="V19" s="10">
        <v>1898</v>
      </c>
      <c r="W19" s="10">
        <v>362</v>
      </c>
      <c r="X19" s="11">
        <v>0</v>
      </c>
      <c r="Y19" s="11">
        <v>1</v>
      </c>
      <c r="Z19" s="2" t="s">
        <v>31</v>
      </c>
      <c r="AA19" s="2" t="s">
        <v>192</v>
      </c>
      <c r="AB19" s="3">
        <v>44602</v>
      </c>
      <c r="AC19" s="2">
        <v>1</v>
      </c>
      <c r="AD19" s="2" t="s">
        <v>107</v>
      </c>
      <c r="AE19" s="2">
        <v>1.96</v>
      </c>
      <c r="AF19" s="4">
        <v>373100</v>
      </c>
      <c r="AG19" s="8">
        <v>382.05</v>
      </c>
      <c r="AH19" s="8">
        <f t="shared" si="0"/>
        <v>410.74195500000002</v>
      </c>
      <c r="AI19" s="8">
        <f t="shared" si="1"/>
        <v>28.691955000000007</v>
      </c>
      <c r="AJ19" s="8">
        <f t="shared" si="2"/>
        <v>402.71890500000001</v>
      </c>
      <c r="AK19" s="8">
        <f t="shared" si="3"/>
        <v>20.668904999999995</v>
      </c>
    </row>
    <row r="20" spans="1:37" x14ac:dyDescent="0.3">
      <c r="A20" s="1">
        <v>20</v>
      </c>
      <c r="B20" s="2" t="s">
        <v>193</v>
      </c>
      <c r="C20" s="2" t="s">
        <v>100</v>
      </c>
      <c r="D20" s="2" t="s">
        <v>101</v>
      </c>
      <c r="E20" s="1">
        <v>1</v>
      </c>
      <c r="F20" s="2" t="s">
        <v>194</v>
      </c>
      <c r="G20" s="2" t="s">
        <v>92</v>
      </c>
      <c r="H20" s="2" t="s">
        <v>31</v>
      </c>
      <c r="I20" s="2" t="s">
        <v>32</v>
      </c>
      <c r="J20" s="2" t="s">
        <v>195</v>
      </c>
      <c r="K20" s="10" t="s">
        <v>2822</v>
      </c>
      <c r="L20" s="2" t="s">
        <v>196</v>
      </c>
      <c r="M20" s="2" t="s">
        <v>197</v>
      </c>
      <c r="N20" s="2" t="s">
        <v>198</v>
      </c>
      <c r="O20" s="2" t="s">
        <v>199</v>
      </c>
      <c r="P20" s="2" t="s">
        <v>200</v>
      </c>
      <c r="Q20" s="2" t="s">
        <v>59</v>
      </c>
      <c r="R20" s="2" t="s">
        <v>48</v>
      </c>
      <c r="S20" s="2" t="s">
        <v>31</v>
      </c>
      <c r="T20" s="2" t="s">
        <v>60</v>
      </c>
      <c r="U20" s="2">
        <v>0</v>
      </c>
      <c r="V20" s="10">
        <v>1898</v>
      </c>
      <c r="W20" s="10">
        <v>1645</v>
      </c>
      <c r="X20" s="11">
        <v>0</v>
      </c>
      <c r="Y20" s="11">
        <v>1</v>
      </c>
      <c r="Z20" s="2" t="s">
        <v>31</v>
      </c>
      <c r="AA20" s="2" t="s">
        <v>201</v>
      </c>
      <c r="AB20" s="3">
        <v>43706</v>
      </c>
      <c r="AC20" s="2">
        <v>10</v>
      </c>
      <c r="AD20" s="2" t="s">
        <v>39</v>
      </c>
      <c r="AE20" s="2">
        <v>5.51</v>
      </c>
      <c r="AF20" s="4">
        <v>1161900</v>
      </c>
      <c r="AG20" s="8">
        <v>11897.86</v>
      </c>
      <c r="AH20" s="8">
        <f t="shared" si="0"/>
        <v>12791.389286</v>
      </c>
      <c r="AI20" s="8">
        <f t="shared" si="1"/>
        <v>893.52928599999905</v>
      </c>
      <c r="AJ20" s="8">
        <f t="shared" si="2"/>
        <v>12541.534226000002</v>
      </c>
      <c r="AK20" s="8">
        <f t="shared" si="3"/>
        <v>643.674226000001</v>
      </c>
    </row>
    <row r="21" spans="1:37" x14ac:dyDescent="0.3">
      <c r="A21" s="1">
        <v>21</v>
      </c>
      <c r="B21" s="2" t="s">
        <v>202</v>
      </c>
      <c r="C21" s="2" t="s">
        <v>100</v>
      </c>
      <c r="D21" s="2" t="s">
        <v>101</v>
      </c>
      <c r="E21" s="1">
        <v>1</v>
      </c>
      <c r="F21" s="2" t="s">
        <v>203</v>
      </c>
      <c r="G21" s="2" t="s">
        <v>92</v>
      </c>
      <c r="H21" s="2" t="s">
        <v>31</v>
      </c>
      <c r="I21" s="2" t="s">
        <v>32</v>
      </c>
      <c r="J21" s="2" t="s">
        <v>204</v>
      </c>
      <c r="K21" s="10" t="s">
        <v>2822</v>
      </c>
      <c r="L21" s="2" t="s">
        <v>205</v>
      </c>
      <c r="M21" s="2" t="s">
        <v>206</v>
      </c>
      <c r="N21" s="2" t="s">
        <v>207</v>
      </c>
      <c r="O21" s="2" t="s">
        <v>208</v>
      </c>
      <c r="P21" s="2" t="s">
        <v>209</v>
      </c>
      <c r="Q21" s="2" t="s">
        <v>148</v>
      </c>
      <c r="R21" s="2" t="s">
        <v>210</v>
      </c>
      <c r="S21" s="2" t="s">
        <v>31</v>
      </c>
      <c r="T21" s="2" t="s">
        <v>211</v>
      </c>
      <c r="U21" s="2">
        <v>0</v>
      </c>
      <c r="V21" s="10">
        <v>1898</v>
      </c>
      <c r="W21" s="10">
        <v>1088</v>
      </c>
      <c r="X21" s="11">
        <v>0</v>
      </c>
      <c r="Y21" s="11">
        <v>1</v>
      </c>
      <c r="Z21" s="2" t="s">
        <v>31</v>
      </c>
      <c r="AA21" s="2" t="s">
        <v>212</v>
      </c>
      <c r="AB21" s="3">
        <v>43658</v>
      </c>
      <c r="AC21" s="2">
        <v>825000</v>
      </c>
      <c r="AD21" s="2" t="s">
        <v>39</v>
      </c>
      <c r="AE21" s="2">
        <v>4.9400000000000004</v>
      </c>
      <c r="AF21" s="4">
        <v>878000</v>
      </c>
      <c r="AG21" s="8">
        <v>8990.7199999999993</v>
      </c>
      <c r="AH21" s="8">
        <f t="shared" si="0"/>
        <v>9665.9230719999996</v>
      </c>
      <c r="AI21" s="8">
        <f t="shared" si="1"/>
        <v>675.20307200000025</v>
      </c>
      <c r="AJ21" s="8">
        <f t="shared" si="2"/>
        <v>9477.1179520000005</v>
      </c>
      <c r="AK21" s="8">
        <f t="shared" si="3"/>
        <v>486.39795200000117</v>
      </c>
    </row>
    <row r="22" spans="1:37" x14ac:dyDescent="0.3">
      <c r="A22" s="1">
        <v>22</v>
      </c>
      <c r="B22" s="2" t="s">
        <v>213</v>
      </c>
      <c r="C22" s="2" t="s">
        <v>100</v>
      </c>
      <c r="D22" s="2" t="s">
        <v>101</v>
      </c>
      <c r="E22" s="1">
        <v>1</v>
      </c>
      <c r="F22" s="2" t="s">
        <v>214</v>
      </c>
      <c r="G22" s="2" t="s">
        <v>92</v>
      </c>
      <c r="H22" s="2" t="s">
        <v>31</v>
      </c>
      <c r="I22" s="2" t="s">
        <v>32</v>
      </c>
      <c r="J22" s="2" t="s">
        <v>215</v>
      </c>
      <c r="K22" s="10" t="s">
        <v>2822</v>
      </c>
      <c r="L22" s="2" t="s">
        <v>216</v>
      </c>
      <c r="M22" s="2" t="s">
        <v>217</v>
      </c>
      <c r="N22" s="2" t="s">
        <v>218</v>
      </c>
      <c r="O22" s="2" t="s">
        <v>219</v>
      </c>
      <c r="P22" s="2" t="s">
        <v>220</v>
      </c>
      <c r="Q22" s="2" t="s">
        <v>59</v>
      </c>
      <c r="R22" s="2" t="s">
        <v>48</v>
      </c>
      <c r="S22" s="2" t="s">
        <v>31</v>
      </c>
      <c r="T22" s="2" t="s">
        <v>60</v>
      </c>
      <c r="U22" s="2">
        <v>0</v>
      </c>
      <c r="V22" s="10">
        <v>1898</v>
      </c>
      <c r="W22" s="10">
        <v>1182</v>
      </c>
      <c r="X22" s="11">
        <v>0</v>
      </c>
      <c r="Y22" s="11">
        <v>1</v>
      </c>
      <c r="Z22" s="2" t="s">
        <v>31</v>
      </c>
      <c r="AA22" s="2" t="s">
        <v>221</v>
      </c>
      <c r="AB22" s="3">
        <v>35230</v>
      </c>
      <c r="AC22" s="2">
        <v>177000</v>
      </c>
      <c r="AD22" s="2" t="s">
        <v>107</v>
      </c>
      <c r="AE22" s="2">
        <v>4.45</v>
      </c>
      <c r="AF22" s="4">
        <v>903100</v>
      </c>
      <c r="AG22" s="8">
        <v>5612.81</v>
      </c>
      <c r="AH22" s="8">
        <f t="shared" si="0"/>
        <v>6034.3320309999999</v>
      </c>
      <c r="AI22" s="8">
        <f t="shared" si="1"/>
        <v>421.52203099999952</v>
      </c>
      <c r="AJ22" s="8">
        <f t="shared" si="2"/>
        <v>5916.4630210000005</v>
      </c>
      <c r="AK22" s="8">
        <f t="shared" si="3"/>
        <v>303.65302100000008</v>
      </c>
    </row>
    <row r="23" spans="1:37" x14ac:dyDescent="0.3">
      <c r="A23" s="1">
        <v>23</v>
      </c>
      <c r="B23" s="2" t="s">
        <v>222</v>
      </c>
      <c r="C23" s="2" t="s">
        <v>100</v>
      </c>
      <c r="D23" s="2" t="s">
        <v>101</v>
      </c>
      <c r="E23" s="1">
        <v>1</v>
      </c>
      <c r="F23" s="2" t="s">
        <v>223</v>
      </c>
      <c r="G23" s="2" t="s">
        <v>92</v>
      </c>
      <c r="H23" s="2" t="s">
        <v>31</v>
      </c>
      <c r="I23" s="2" t="s">
        <v>32</v>
      </c>
      <c r="J23" s="2" t="s">
        <v>224</v>
      </c>
      <c r="K23" s="10" t="s">
        <v>2822</v>
      </c>
      <c r="L23" s="2" t="s">
        <v>225</v>
      </c>
      <c r="M23" s="2" t="s">
        <v>226</v>
      </c>
      <c r="N23" s="2" t="s">
        <v>31</v>
      </c>
      <c r="O23" s="2" t="s">
        <v>31</v>
      </c>
      <c r="P23" s="2" t="s">
        <v>227</v>
      </c>
      <c r="Q23" s="2" t="s">
        <v>59</v>
      </c>
      <c r="R23" s="2" t="s">
        <v>48</v>
      </c>
      <c r="S23" s="2" t="s">
        <v>31</v>
      </c>
      <c r="T23" s="2" t="s">
        <v>60</v>
      </c>
      <c r="U23" s="2">
        <v>0</v>
      </c>
      <c r="V23" s="10">
        <v>1898</v>
      </c>
      <c r="W23" s="10">
        <v>1015</v>
      </c>
      <c r="X23" s="11">
        <v>0</v>
      </c>
      <c r="Y23" s="11">
        <v>1</v>
      </c>
      <c r="Z23" s="2" t="s">
        <v>31</v>
      </c>
      <c r="AA23" s="2" t="s">
        <v>228</v>
      </c>
      <c r="AB23" s="3">
        <v>44082</v>
      </c>
      <c r="AC23" s="2">
        <v>100</v>
      </c>
      <c r="AD23" s="2" t="s">
        <v>107</v>
      </c>
      <c r="AE23" s="2">
        <v>4.6500000000000004</v>
      </c>
      <c r="AF23" s="4">
        <v>778600</v>
      </c>
      <c r="AG23" s="8">
        <v>4337.93</v>
      </c>
      <c r="AH23" s="8">
        <f t="shared" si="0"/>
        <v>4663.7085429999997</v>
      </c>
      <c r="AI23" s="8">
        <f t="shared" si="1"/>
        <v>325.77854299999944</v>
      </c>
      <c r="AJ23" s="8">
        <f t="shared" si="2"/>
        <v>4572.6120130000008</v>
      </c>
      <c r="AK23" s="8">
        <f t="shared" si="3"/>
        <v>234.68201300000055</v>
      </c>
    </row>
    <row r="24" spans="1:37" x14ac:dyDescent="0.3">
      <c r="A24" s="1">
        <v>24</v>
      </c>
      <c r="B24" s="2" t="s">
        <v>229</v>
      </c>
      <c r="C24" s="2" t="s">
        <v>100</v>
      </c>
      <c r="D24" s="2" t="s">
        <v>101</v>
      </c>
      <c r="E24" s="1">
        <v>1</v>
      </c>
      <c r="F24" s="2" t="s">
        <v>230</v>
      </c>
      <c r="G24" s="2" t="s">
        <v>92</v>
      </c>
      <c r="H24" s="2" t="s">
        <v>31</v>
      </c>
      <c r="I24" s="2" t="s">
        <v>32</v>
      </c>
      <c r="J24" s="2" t="s">
        <v>231</v>
      </c>
      <c r="K24" s="10" t="s">
        <v>2822</v>
      </c>
      <c r="L24" s="2" t="s">
        <v>232</v>
      </c>
      <c r="M24" s="2" t="s">
        <v>233</v>
      </c>
      <c r="N24" s="2" t="s">
        <v>31</v>
      </c>
      <c r="O24" s="2" t="s">
        <v>31</v>
      </c>
      <c r="P24" s="2" t="s">
        <v>234</v>
      </c>
      <c r="Q24" s="2" t="s">
        <v>86</v>
      </c>
      <c r="R24" s="2" t="s">
        <v>48</v>
      </c>
      <c r="S24" s="2" t="s">
        <v>31</v>
      </c>
      <c r="T24" s="2" t="s">
        <v>235</v>
      </c>
      <c r="U24" s="2">
        <v>0</v>
      </c>
      <c r="V24" s="10">
        <v>1898</v>
      </c>
      <c r="W24" s="10">
        <v>345</v>
      </c>
      <c r="X24" s="11">
        <v>0</v>
      </c>
      <c r="Y24" s="11">
        <v>1</v>
      </c>
      <c r="Z24" s="2" t="s">
        <v>31</v>
      </c>
      <c r="AA24" s="2" t="s">
        <v>236</v>
      </c>
      <c r="AB24" s="3">
        <v>45351</v>
      </c>
      <c r="AC24" s="2">
        <v>430000</v>
      </c>
      <c r="AD24" s="2" t="s">
        <v>39</v>
      </c>
      <c r="AE24" s="2">
        <v>2.08</v>
      </c>
      <c r="AF24" s="4">
        <v>418300</v>
      </c>
      <c r="AG24" s="8">
        <v>4283.3900000000003</v>
      </c>
      <c r="AH24" s="8">
        <f t="shared" si="0"/>
        <v>4605.0725890000003</v>
      </c>
      <c r="AI24" s="8">
        <f t="shared" si="1"/>
        <v>321.68258900000001</v>
      </c>
      <c r="AJ24" s="8">
        <f t="shared" si="2"/>
        <v>4515.1213990000006</v>
      </c>
      <c r="AK24" s="8">
        <f t="shared" si="3"/>
        <v>231.73139900000024</v>
      </c>
    </row>
    <row r="25" spans="1:37" x14ac:dyDescent="0.3">
      <c r="A25" s="1">
        <v>25</v>
      </c>
      <c r="B25" s="2" t="s">
        <v>237</v>
      </c>
      <c r="C25" s="2" t="s">
        <v>100</v>
      </c>
      <c r="D25" s="2" t="s">
        <v>101</v>
      </c>
      <c r="E25" s="1">
        <v>1</v>
      </c>
      <c r="F25" s="2" t="s">
        <v>238</v>
      </c>
      <c r="G25" s="2" t="s">
        <v>92</v>
      </c>
      <c r="H25" s="2" t="s">
        <v>31</v>
      </c>
      <c r="I25" s="2" t="s">
        <v>32</v>
      </c>
      <c r="J25" s="2" t="s">
        <v>239</v>
      </c>
      <c r="K25" s="10" t="s">
        <v>2822</v>
      </c>
      <c r="L25" s="2" t="s">
        <v>240</v>
      </c>
      <c r="M25" s="2" t="s">
        <v>31</v>
      </c>
      <c r="N25" s="2" t="s">
        <v>31</v>
      </c>
      <c r="O25" s="2" t="s">
        <v>31</v>
      </c>
      <c r="P25" s="2" t="s">
        <v>241</v>
      </c>
      <c r="Q25" s="2" t="s">
        <v>59</v>
      </c>
      <c r="R25" s="2" t="s">
        <v>48</v>
      </c>
      <c r="S25" s="2" t="s">
        <v>31</v>
      </c>
      <c r="T25" s="2" t="s">
        <v>242</v>
      </c>
      <c r="U25" s="2">
        <v>0</v>
      </c>
      <c r="V25" s="10">
        <v>1898</v>
      </c>
      <c r="W25" s="10">
        <v>1505</v>
      </c>
      <c r="X25" s="11">
        <v>0</v>
      </c>
      <c r="Y25" s="11">
        <v>1</v>
      </c>
      <c r="Z25" s="2" t="s">
        <v>31</v>
      </c>
      <c r="AA25" s="2" t="s">
        <v>243</v>
      </c>
      <c r="AB25" s="3">
        <v>33422</v>
      </c>
      <c r="AC25" s="2">
        <v>50000</v>
      </c>
      <c r="AD25" s="2" t="s">
        <v>39</v>
      </c>
      <c r="AE25" s="2">
        <v>5.63</v>
      </c>
      <c r="AF25" s="4">
        <v>1029500</v>
      </c>
      <c r="AG25" s="8">
        <v>10542.08</v>
      </c>
      <c r="AH25" s="8">
        <f t="shared" si="0"/>
        <v>11333.790207999999</v>
      </c>
      <c r="AI25" s="8">
        <f t="shared" si="1"/>
        <v>791.7102079999986</v>
      </c>
      <c r="AJ25" s="8">
        <f t="shared" si="2"/>
        <v>11112.406528</v>
      </c>
      <c r="AK25" s="8">
        <f t="shared" si="3"/>
        <v>570.3265279999996</v>
      </c>
    </row>
    <row r="26" spans="1:37" x14ac:dyDescent="0.3">
      <c r="A26" s="1">
        <v>26</v>
      </c>
      <c r="B26" s="2" t="s">
        <v>244</v>
      </c>
      <c r="C26" s="2" t="s">
        <v>100</v>
      </c>
      <c r="D26" s="2" t="s">
        <v>101</v>
      </c>
      <c r="E26" s="1">
        <v>1</v>
      </c>
      <c r="F26" s="2" t="s">
        <v>245</v>
      </c>
      <c r="G26" s="2" t="s">
        <v>92</v>
      </c>
      <c r="H26" s="2" t="s">
        <v>31</v>
      </c>
      <c r="I26" s="2" t="s">
        <v>32</v>
      </c>
      <c r="J26" s="2" t="s">
        <v>246</v>
      </c>
      <c r="K26" s="10" t="s">
        <v>2822</v>
      </c>
      <c r="L26" s="2" t="s">
        <v>247</v>
      </c>
      <c r="M26" s="2" t="s">
        <v>248</v>
      </c>
      <c r="N26" s="2" t="s">
        <v>31</v>
      </c>
      <c r="O26" s="2" t="s">
        <v>31</v>
      </c>
      <c r="P26" s="2" t="s">
        <v>249</v>
      </c>
      <c r="Q26" s="2" t="s">
        <v>59</v>
      </c>
      <c r="R26" s="2" t="s">
        <v>48</v>
      </c>
      <c r="S26" s="2" t="s">
        <v>31</v>
      </c>
      <c r="T26" s="2" t="s">
        <v>60</v>
      </c>
      <c r="U26" s="2">
        <v>0</v>
      </c>
      <c r="V26" s="10">
        <v>1898</v>
      </c>
      <c r="W26" s="10">
        <v>1228</v>
      </c>
      <c r="X26" s="11">
        <v>0</v>
      </c>
      <c r="Y26" s="11">
        <v>1</v>
      </c>
      <c r="Z26" s="2" t="s">
        <v>31</v>
      </c>
      <c r="AA26" s="2" t="s">
        <v>250</v>
      </c>
      <c r="AB26" s="3">
        <v>38859</v>
      </c>
      <c r="AC26" s="2">
        <v>587500</v>
      </c>
      <c r="AD26" s="2" t="s">
        <v>107</v>
      </c>
      <c r="AE26" s="2">
        <v>5.0599999999999996</v>
      </c>
      <c r="AF26" s="4">
        <v>883200</v>
      </c>
      <c r="AG26" s="8">
        <v>5409.03</v>
      </c>
      <c r="AH26" s="8">
        <f t="shared" si="0"/>
        <v>5815.2481529999995</v>
      </c>
      <c r="AI26" s="8">
        <f t="shared" si="1"/>
        <v>406.2181529999998</v>
      </c>
      <c r="AJ26" s="8">
        <f t="shared" si="2"/>
        <v>5701.6585230000001</v>
      </c>
      <c r="AK26" s="8">
        <f t="shared" si="3"/>
        <v>292.62852300000031</v>
      </c>
    </row>
    <row r="27" spans="1:37" x14ac:dyDescent="0.3">
      <c r="A27" s="1">
        <v>27</v>
      </c>
      <c r="B27" s="2" t="s">
        <v>251</v>
      </c>
      <c r="C27" s="2" t="s">
        <v>100</v>
      </c>
      <c r="D27" s="2" t="s">
        <v>101</v>
      </c>
      <c r="E27" s="1">
        <v>1</v>
      </c>
      <c r="F27" s="2" t="s">
        <v>252</v>
      </c>
      <c r="G27" s="2" t="s">
        <v>92</v>
      </c>
      <c r="H27" s="2" t="s">
        <v>31</v>
      </c>
      <c r="I27" s="2" t="s">
        <v>32</v>
      </c>
      <c r="J27" s="2" t="s">
        <v>253</v>
      </c>
      <c r="K27" s="10" t="s">
        <v>2822</v>
      </c>
      <c r="L27" s="2" t="s">
        <v>119</v>
      </c>
      <c r="M27" s="2" t="s">
        <v>254</v>
      </c>
      <c r="N27" s="2" t="s">
        <v>31</v>
      </c>
      <c r="O27" s="2" t="s">
        <v>31</v>
      </c>
      <c r="P27" s="2" t="s">
        <v>255</v>
      </c>
      <c r="Q27" s="2" t="s">
        <v>59</v>
      </c>
      <c r="R27" s="2" t="s">
        <v>48</v>
      </c>
      <c r="S27" s="2" t="s">
        <v>31</v>
      </c>
      <c r="T27" s="2" t="s">
        <v>60</v>
      </c>
      <c r="U27" s="2">
        <v>0</v>
      </c>
      <c r="V27" s="10">
        <v>1898</v>
      </c>
      <c r="W27" s="10">
        <v>1182</v>
      </c>
      <c r="X27" s="11">
        <v>0</v>
      </c>
      <c r="Y27" s="11">
        <v>1</v>
      </c>
      <c r="Z27" s="2" t="s">
        <v>31</v>
      </c>
      <c r="AA27" s="2" t="s">
        <v>256</v>
      </c>
      <c r="AB27" s="3">
        <v>36495</v>
      </c>
      <c r="AC27" s="2">
        <v>309000</v>
      </c>
      <c r="AD27" s="2" t="s">
        <v>39</v>
      </c>
      <c r="AE27" s="2">
        <v>4.57</v>
      </c>
      <c r="AF27" s="4">
        <v>924000</v>
      </c>
      <c r="AG27" s="8">
        <v>9461.76</v>
      </c>
      <c r="AH27" s="8">
        <f t="shared" si="0"/>
        <v>10172.338175999999</v>
      </c>
      <c r="AI27" s="8">
        <f t="shared" si="1"/>
        <v>710.57817599999908</v>
      </c>
      <c r="AJ27" s="8">
        <f t="shared" si="2"/>
        <v>9973.641216</v>
      </c>
      <c r="AK27" s="8">
        <f t="shared" si="3"/>
        <v>511.88121599999977</v>
      </c>
    </row>
    <row r="28" spans="1:37" x14ac:dyDescent="0.3">
      <c r="A28" s="1">
        <v>28</v>
      </c>
      <c r="B28" s="2" t="s">
        <v>257</v>
      </c>
      <c r="C28" s="2" t="s">
        <v>100</v>
      </c>
      <c r="D28" s="2" t="s">
        <v>101</v>
      </c>
      <c r="E28" s="1">
        <v>1</v>
      </c>
      <c r="F28" s="2" t="s">
        <v>258</v>
      </c>
      <c r="G28" s="2" t="s">
        <v>92</v>
      </c>
      <c r="H28" s="2" t="s">
        <v>31</v>
      </c>
      <c r="I28" s="2" t="s">
        <v>32</v>
      </c>
      <c r="J28" s="2" t="s">
        <v>259</v>
      </c>
      <c r="K28" s="10" t="s">
        <v>2822</v>
      </c>
      <c r="L28" s="2" t="s">
        <v>260</v>
      </c>
      <c r="M28" s="2" t="s">
        <v>261</v>
      </c>
      <c r="N28" s="2" t="s">
        <v>31</v>
      </c>
      <c r="O28" s="2" t="s">
        <v>31</v>
      </c>
      <c r="P28" s="2" t="s">
        <v>262</v>
      </c>
      <c r="Q28" s="2" t="s">
        <v>59</v>
      </c>
      <c r="R28" s="2" t="s">
        <v>48</v>
      </c>
      <c r="S28" s="2" t="s">
        <v>31</v>
      </c>
      <c r="T28" s="2" t="s">
        <v>60</v>
      </c>
      <c r="U28" s="2">
        <v>0</v>
      </c>
      <c r="V28" s="10">
        <v>1898</v>
      </c>
      <c r="W28" s="10">
        <v>1015</v>
      </c>
      <c r="X28" s="11">
        <v>0</v>
      </c>
      <c r="Y28" s="11">
        <v>1</v>
      </c>
      <c r="Z28" s="2" t="s">
        <v>31</v>
      </c>
      <c r="AA28" s="2" t="s">
        <v>263</v>
      </c>
      <c r="AB28" s="3">
        <v>41502</v>
      </c>
      <c r="AC28" s="2">
        <v>518000</v>
      </c>
      <c r="AD28" s="2" t="s">
        <v>39</v>
      </c>
      <c r="AE28" s="2">
        <v>4.78</v>
      </c>
      <c r="AF28" s="4">
        <v>807500</v>
      </c>
      <c r="AG28" s="8">
        <v>8268.7999999999993</v>
      </c>
      <c r="AH28" s="8">
        <f t="shared" si="0"/>
        <v>8889.7868799999997</v>
      </c>
      <c r="AI28" s="8">
        <f t="shared" si="1"/>
        <v>620.98688000000038</v>
      </c>
      <c r="AJ28" s="8">
        <f t="shared" si="2"/>
        <v>8716.1420799999996</v>
      </c>
      <c r="AK28" s="8">
        <f t="shared" si="3"/>
        <v>447.34208000000035</v>
      </c>
    </row>
    <row r="29" spans="1:37" x14ac:dyDescent="0.3">
      <c r="A29" s="1">
        <v>29</v>
      </c>
      <c r="B29" s="2" t="s">
        <v>264</v>
      </c>
      <c r="C29" s="2" t="s">
        <v>100</v>
      </c>
      <c r="D29" s="2" t="s">
        <v>101</v>
      </c>
      <c r="E29" s="1">
        <v>1</v>
      </c>
      <c r="F29" s="2" t="s">
        <v>265</v>
      </c>
      <c r="G29" s="2" t="s">
        <v>92</v>
      </c>
      <c r="H29" s="2" t="s">
        <v>31</v>
      </c>
      <c r="I29" s="2" t="s">
        <v>32</v>
      </c>
      <c r="J29" s="2" t="s">
        <v>266</v>
      </c>
      <c r="K29" s="10" t="s">
        <v>2822</v>
      </c>
      <c r="L29" s="2" t="s">
        <v>267</v>
      </c>
      <c r="M29" s="2" t="s">
        <v>31</v>
      </c>
      <c r="N29" s="2" t="s">
        <v>31</v>
      </c>
      <c r="O29" s="2" t="s">
        <v>31</v>
      </c>
      <c r="P29" s="2" t="s">
        <v>268</v>
      </c>
      <c r="Q29" s="2" t="s">
        <v>269</v>
      </c>
      <c r="R29" s="2" t="s">
        <v>48</v>
      </c>
      <c r="S29" s="2" t="s">
        <v>31</v>
      </c>
      <c r="T29" s="2" t="s">
        <v>270</v>
      </c>
      <c r="U29" s="2">
        <v>0</v>
      </c>
      <c r="V29" s="10">
        <v>1898</v>
      </c>
      <c r="W29" s="10">
        <v>345</v>
      </c>
      <c r="X29" s="11">
        <v>0</v>
      </c>
      <c r="Y29" s="11">
        <v>1</v>
      </c>
      <c r="Z29" s="2" t="s">
        <v>31</v>
      </c>
      <c r="AA29" s="2" t="s">
        <v>271</v>
      </c>
      <c r="AB29" s="3">
        <v>38868</v>
      </c>
      <c r="AC29" s="2">
        <v>180000</v>
      </c>
      <c r="AD29" s="2" t="s">
        <v>39</v>
      </c>
      <c r="AE29" s="2">
        <v>2.2000000000000002</v>
      </c>
      <c r="AF29" s="4">
        <v>412000</v>
      </c>
      <c r="AG29" s="8">
        <v>4218.88</v>
      </c>
      <c r="AH29" s="8">
        <f t="shared" si="0"/>
        <v>4535.7178880000001</v>
      </c>
      <c r="AI29" s="8">
        <f t="shared" si="1"/>
        <v>316.83788800000002</v>
      </c>
      <c r="AJ29" s="8">
        <f t="shared" si="2"/>
        <v>4447.121408</v>
      </c>
      <c r="AK29" s="8">
        <f t="shared" si="3"/>
        <v>228.24140799999986</v>
      </c>
    </row>
    <row r="30" spans="1:37" x14ac:dyDescent="0.3">
      <c r="A30" s="1">
        <v>30</v>
      </c>
      <c r="B30" s="2" t="s">
        <v>272</v>
      </c>
      <c r="C30" s="2" t="s">
        <v>100</v>
      </c>
      <c r="D30" s="2" t="s">
        <v>101</v>
      </c>
      <c r="E30" s="1">
        <v>1</v>
      </c>
      <c r="F30" s="2" t="s">
        <v>273</v>
      </c>
      <c r="G30" s="2" t="s">
        <v>92</v>
      </c>
      <c r="H30" s="2" t="s">
        <v>31</v>
      </c>
      <c r="I30" s="2" t="s">
        <v>32</v>
      </c>
      <c r="J30" s="2" t="s">
        <v>274</v>
      </c>
      <c r="K30" s="10" t="s">
        <v>2822</v>
      </c>
      <c r="L30" s="2" t="s">
        <v>275</v>
      </c>
      <c r="M30" s="2" t="s">
        <v>276</v>
      </c>
      <c r="N30" s="2" t="s">
        <v>277</v>
      </c>
      <c r="O30" s="2" t="s">
        <v>278</v>
      </c>
      <c r="P30" s="2" t="s">
        <v>279</v>
      </c>
      <c r="Q30" s="2" t="s">
        <v>59</v>
      </c>
      <c r="R30" s="2" t="s">
        <v>48</v>
      </c>
      <c r="S30" s="2" t="s">
        <v>31</v>
      </c>
      <c r="T30" s="2" t="s">
        <v>60</v>
      </c>
      <c r="U30" s="2">
        <v>0</v>
      </c>
      <c r="V30" s="10">
        <v>1898</v>
      </c>
      <c r="W30" s="10">
        <v>1505</v>
      </c>
      <c r="X30" s="11">
        <v>0</v>
      </c>
      <c r="Y30" s="11">
        <v>1</v>
      </c>
      <c r="Z30" s="2" t="s">
        <v>31</v>
      </c>
      <c r="AA30" s="2" t="s">
        <v>280</v>
      </c>
      <c r="AB30" s="3">
        <v>44104</v>
      </c>
      <c r="AC30" s="2">
        <v>1300000</v>
      </c>
      <c r="AD30" s="2" t="s">
        <v>39</v>
      </c>
      <c r="AE30" s="2">
        <v>5.76</v>
      </c>
      <c r="AF30" s="4">
        <v>1090900</v>
      </c>
      <c r="AG30" s="8">
        <v>11170.82</v>
      </c>
      <c r="AH30" s="8">
        <f t="shared" si="0"/>
        <v>12009.748581999998</v>
      </c>
      <c r="AI30" s="8">
        <f t="shared" si="1"/>
        <v>838.92858199999864</v>
      </c>
      <c r="AJ30" s="8">
        <f t="shared" si="2"/>
        <v>11775.161362000001</v>
      </c>
      <c r="AK30" s="8">
        <f t="shared" si="3"/>
        <v>604.34136200000103</v>
      </c>
    </row>
    <row r="31" spans="1:37" x14ac:dyDescent="0.3">
      <c r="A31" s="1">
        <v>31</v>
      </c>
      <c r="B31" s="2" t="s">
        <v>281</v>
      </c>
      <c r="C31" s="2" t="s">
        <v>100</v>
      </c>
      <c r="D31" s="2" t="s">
        <v>101</v>
      </c>
      <c r="E31" s="1">
        <v>1</v>
      </c>
      <c r="F31" s="2" t="s">
        <v>282</v>
      </c>
      <c r="G31" s="2" t="s">
        <v>92</v>
      </c>
      <c r="H31" s="2" t="s">
        <v>31</v>
      </c>
      <c r="I31" s="2" t="s">
        <v>32</v>
      </c>
      <c r="J31" s="2" t="s">
        <v>283</v>
      </c>
      <c r="K31" s="10" t="s">
        <v>2822</v>
      </c>
      <c r="L31" s="2" t="s">
        <v>284</v>
      </c>
      <c r="M31" s="2" t="s">
        <v>285</v>
      </c>
      <c r="N31" s="2" t="s">
        <v>31</v>
      </c>
      <c r="O31" s="2" t="s">
        <v>31</v>
      </c>
      <c r="P31" s="2" t="s">
        <v>286</v>
      </c>
      <c r="Q31" s="2" t="s">
        <v>59</v>
      </c>
      <c r="R31" s="2" t="s">
        <v>48</v>
      </c>
      <c r="S31" s="2" t="s">
        <v>31</v>
      </c>
      <c r="T31" s="2" t="s">
        <v>60</v>
      </c>
      <c r="U31" s="2">
        <v>0</v>
      </c>
      <c r="V31" s="10">
        <v>1898</v>
      </c>
      <c r="W31" s="10">
        <v>1228</v>
      </c>
      <c r="X31" s="11">
        <v>0</v>
      </c>
      <c r="Y31" s="11">
        <v>1</v>
      </c>
      <c r="Z31" s="2" t="s">
        <v>31</v>
      </c>
      <c r="AA31" s="2" t="s">
        <v>287</v>
      </c>
      <c r="AB31" s="3">
        <v>34943</v>
      </c>
      <c r="AC31" s="2">
        <v>193000</v>
      </c>
      <c r="AD31" s="2" t="s">
        <v>39</v>
      </c>
      <c r="AE31" s="2">
        <v>5.14</v>
      </c>
      <c r="AF31" s="4">
        <v>946700</v>
      </c>
      <c r="AG31" s="8">
        <v>9694.2099999999991</v>
      </c>
      <c r="AH31" s="8">
        <f t="shared" si="0"/>
        <v>10422.245170999999</v>
      </c>
      <c r="AI31" s="8">
        <f t="shared" si="1"/>
        <v>728.03517099999954</v>
      </c>
      <c r="AJ31" s="8">
        <f t="shared" si="2"/>
        <v>10218.666760999999</v>
      </c>
      <c r="AK31" s="8">
        <f t="shared" si="3"/>
        <v>524.45676099999946</v>
      </c>
    </row>
    <row r="32" spans="1:37" x14ac:dyDescent="0.3">
      <c r="A32" s="1">
        <v>32</v>
      </c>
      <c r="B32" s="2" t="s">
        <v>288</v>
      </c>
      <c r="C32" s="2" t="s">
        <v>90</v>
      </c>
      <c r="D32" s="2" t="s">
        <v>28</v>
      </c>
      <c r="E32" s="1">
        <v>0</v>
      </c>
      <c r="F32" s="2" t="s">
        <v>289</v>
      </c>
      <c r="G32" s="2" t="s">
        <v>92</v>
      </c>
      <c r="H32" s="2" t="s">
        <v>31</v>
      </c>
      <c r="I32" s="2" t="s">
        <v>32</v>
      </c>
      <c r="J32" s="2" t="s">
        <v>290</v>
      </c>
      <c r="K32" s="10" t="s">
        <v>2822</v>
      </c>
      <c r="L32" s="2" t="s">
        <v>291</v>
      </c>
      <c r="M32" s="2" t="s">
        <v>31</v>
      </c>
      <c r="N32" s="2" t="s">
        <v>31</v>
      </c>
      <c r="O32" s="2" t="s">
        <v>31</v>
      </c>
      <c r="P32" s="2" t="s">
        <v>292</v>
      </c>
      <c r="Q32" s="2" t="s">
        <v>293</v>
      </c>
      <c r="R32" s="2" t="s">
        <v>48</v>
      </c>
      <c r="S32" s="2" t="s">
        <v>31</v>
      </c>
      <c r="T32" s="2" t="s">
        <v>294</v>
      </c>
      <c r="U32" s="2">
        <v>0</v>
      </c>
      <c r="V32" s="10">
        <v>1898</v>
      </c>
      <c r="W32" s="10">
        <v>1568</v>
      </c>
      <c r="X32" s="11">
        <v>2</v>
      </c>
      <c r="Y32" s="11">
        <v>0</v>
      </c>
      <c r="Z32" s="2" t="s">
        <v>31</v>
      </c>
      <c r="AA32" s="2" t="s">
        <v>295</v>
      </c>
      <c r="AB32" s="3">
        <v>45846</v>
      </c>
      <c r="AC32" s="2">
        <v>1350000</v>
      </c>
      <c r="AD32" s="2" t="s">
        <v>39</v>
      </c>
      <c r="AE32" s="2">
        <v>4.08</v>
      </c>
      <c r="AF32" s="4">
        <v>1213500</v>
      </c>
      <c r="AG32" s="8">
        <v>20823.66</v>
      </c>
      <c r="AH32" s="8">
        <f t="shared" si="0"/>
        <v>22387.516865999998</v>
      </c>
      <c r="AI32" s="8">
        <f t="shared" si="1"/>
        <v>1563.8568659999983</v>
      </c>
      <c r="AJ32" s="8">
        <f t="shared" si="2"/>
        <v>21950.220006</v>
      </c>
      <c r="AK32" s="8">
        <f t="shared" si="3"/>
        <v>1126.5600059999997</v>
      </c>
    </row>
    <row r="33" spans="1:37" x14ac:dyDescent="0.3">
      <c r="A33" s="1">
        <v>35</v>
      </c>
      <c r="B33" s="2" t="s">
        <v>296</v>
      </c>
      <c r="C33" s="2" t="s">
        <v>90</v>
      </c>
      <c r="D33" s="2" t="s">
        <v>28</v>
      </c>
      <c r="E33" s="1">
        <v>0</v>
      </c>
      <c r="F33" s="2" t="s">
        <v>297</v>
      </c>
      <c r="G33" s="2" t="s">
        <v>298</v>
      </c>
      <c r="H33" s="2" t="s">
        <v>31</v>
      </c>
      <c r="I33" s="2" t="s">
        <v>32</v>
      </c>
      <c r="J33" s="2" t="s">
        <v>299</v>
      </c>
      <c r="K33" s="10" t="s">
        <v>2823</v>
      </c>
      <c r="L33" s="2" t="s">
        <v>300</v>
      </c>
      <c r="M33" s="2" t="s">
        <v>301</v>
      </c>
      <c r="N33" s="2" t="s">
        <v>31</v>
      </c>
      <c r="O33" s="2" t="s">
        <v>31</v>
      </c>
      <c r="P33" s="2" t="s">
        <v>302</v>
      </c>
      <c r="Q33" s="2" t="s">
        <v>303</v>
      </c>
      <c r="R33" s="2" t="s">
        <v>48</v>
      </c>
      <c r="S33" s="2" t="s">
        <v>31</v>
      </c>
      <c r="T33" s="2" t="s">
        <v>304</v>
      </c>
      <c r="U33" s="2">
        <v>0</v>
      </c>
      <c r="V33" s="10">
        <v>1920</v>
      </c>
      <c r="W33" s="10">
        <v>816</v>
      </c>
      <c r="X33" s="11">
        <v>1</v>
      </c>
      <c r="Y33" s="11">
        <v>0</v>
      </c>
      <c r="Z33" s="2" t="s">
        <v>31</v>
      </c>
      <c r="AA33" s="2" t="s">
        <v>305</v>
      </c>
      <c r="AB33" s="3">
        <v>35829</v>
      </c>
      <c r="AC33" s="2">
        <v>100</v>
      </c>
      <c r="AD33" s="2" t="s">
        <v>39</v>
      </c>
      <c r="AE33" s="2">
        <v>12</v>
      </c>
      <c r="AF33" s="4">
        <v>696800</v>
      </c>
      <c r="AG33" s="8">
        <v>11957.09</v>
      </c>
      <c r="AH33" s="8">
        <f t="shared" si="0"/>
        <v>12855.067459</v>
      </c>
      <c r="AI33" s="8">
        <f t="shared" si="1"/>
        <v>897.97745899999973</v>
      </c>
      <c r="AJ33" s="8">
        <f t="shared" si="2"/>
        <v>12603.968569000001</v>
      </c>
      <c r="AK33" s="8">
        <f t="shared" si="3"/>
        <v>646.87856900000043</v>
      </c>
    </row>
    <row r="34" spans="1:37" x14ac:dyDescent="0.3">
      <c r="A34" s="1">
        <v>36</v>
      </c>
      <c r="B34" s="2" t="s">
        <v>306</v>
      </c>
      <c r="C34" s="2" t="s">
        <v>90</v>
      </c>
      <c r="D34" s="2" t="s">
        <v>28</v>
      </c>
      <c r="E34" s="1">
        <v>0</v>
      </c>
      <c r="F34" s="2" t="s">
        <v>307</v>
      </c>
      <c r="G34" s="2" t="s">
        <v>308</v>
      </c>
      <c r="H34" s="2" t="s">
        <v>31</v>
      </c>
      <c r="I34" s="2" t="s">
        <v>32</v>
      </c>
      <c r="J34" s="2" t="s">
        <v>309</v>
      </c>
      <c r="K34" s="10" t="s">
        <v>2823</v>
      </c>
      <c r="L34" s="2" t="s">
        <v>300</v>
      </c>
      <c r="M34" s="2" t="s">
        <v>301</v>
      </c>
      <c r="N34" s="2" t="s">
        <v>31</v>
      </c>
      <c r="O34" s="2" t="s">
        <v>31</v>
      </c>
      <c r="P34" s="2" t="s">
        <v>302</v>
      </c>
      <c r="Q34" s="2" t="s">
        <v>303</v>
      </c>
      <c r="R34" s="2" t="s">
        <v>48</v>
      </c>
      <c r="S34" s="2" t="s">
        <v>31</v>
      </c>
      <c r="T34" s="2" t="s">
        <v>304</v>
      </c>
      <c r="U34" s="2">
        <v>0</v>
      </c>
      <c r="V34" s="10">
        <v>1920</v>
      </c>
      <c r="W34" s="10">
        <v>1204</v>
      </c>
      <c r="X34" s="11">
        <v>1</v>
      </c>
      <c r="Y34" s="11">
        <v>0</v>
      </c>
      <c r="Z34" s="2" t="s">
        <v>31</v>
      </c>
      <c r="AA34" s="2" t="s">
        <v>310</v>
      </c>
      <c r="AB34" s="3">
        <v>35829</v>
      </c>
      <c r="AC34" s="2">
        <v>100</v>
      </c>
      <c r="AD34" s="2" t="s">
        <v>39</v>
      </c>
      <c r="AE34" s="2">
        <v>17.440000000000001</v>
      </c>
      <c r="AF34" s="4">
        <v>1028100</v>
      </c>
      <c r="AG34" s="8">
        <v>17642.2</v>
      </c>
      <c r="AH34" s="8">
        <f t="shared" si="0"/>
        <v>18967.129219999999</v>
      </c>
      <c r="AI34" s="8">
        <f t="shared" si="1"/>
        <v>1324.9292199999982</v>
      </c>
      <c r="AJ34" s="8">
        <f t="shared" si="2"/>
        <v>18596.643020000003</v>
      </c>
      <c r="AK34" s="8">
        <f t="shared" si="3"/>
        <v>954.44302000000243</v>
      </c>
    </row>
    <row r="35" spans="1:37" x14ac:dyDescent="0.3">
      <c r="A35" s="1">
        <v>37</v>
      </c>
      <c r="B35" s="2" t="s">
        <v>311</v>
      </c>
      <c r="C35" s="2" t="s">
        <v>90</v>
      </c>
      <c r="D35" s="2" t="s">
        <v>28</v>
      </c>
      <c r="E35" s="1">
        <v>0</v>
      </c>
      <c r="F35" s="2" t="s">
        <v>312</v>
      </c>
      <c r="G35" s="2" t="s">
        <v>313</v>
      </c>
      <c r="H35" s="2" t="s">
        <v>31</v>
      </c>
      <c r="I35" s="2" t="s">
        <v>32</v>
      </c>
      <c r="J35" s="2" t="s">
        <v>314</v>
      </c>
      <c r="K35" s="10" t="s">
        <v>2823</v>
      </c>
      <c r="L35" s="2" t="s">
        <v>315</v>
      </c>
      <c r="M35" s="2" t="s">
        <v>316</v>
      </c>
      <c r="N35" s="2" t="s">
        <v>31</v>
      </c>
      <c r="O35" s="2" t="s">
        <v>31</v>
      </c>
      <c r="P35" s="2" t="s">
        <v>317</v>
      </c>
      <c r="Q35" s="2" t="s">
        <v>59</v>
      </c>
      <c r="R35" s="2" t="s">
        <v>48</v>
      </c>
      <c r="S35" s="2" t="s">
        <v>31</v>
      </c>
      <c r="T35" s="2" t="s">
        <v>60</v>
      </c>
      <c r="U35" s="2">
        <v>0</v>
      </c>
      <c r="V35" s="10">
        <v>1920</v>
      </c>
      <c r="W35" s="10">
        <v>814</v>
      </c>
      <c r="X35" s="11">
        <v>1</v>
      </c>
      <c r="Y35" s="11">
        <v>0</v>
      </c>
      <c r="Z35" s="2" t="s">
        <v>31</v>
      </c>
      <c r="AA35" s="2" t="s">
        <v>318</v>
      </c>
      <c r="AB35" s="3">
        <v>45103</v>
      </c>
      <c r="AC35" s="2">
        <v>10</v>
      </c>
      <c r="AD35" s="2" t="s">
        <v>39</v>
      </c>
      <c r="AE35" s="2">
        <v>11.79</v>
      </c>
      <c r="AF35" s="4">
        <v>740200</v>
      </c>
      <c r="AG35" s="8">
        <v>12701.83</v>
      </c>
      <c r="AH35" s="8">
        <f t="shared" si="0"/>
        <v>13655.737432999998</v>
      </c>
      <c r="AI35" s="8">
        <f t="shared" si="1"/>
        <v>953.90743299999849</v>
      </c>
      <c r="AJ35" s="8">
        <f t="shared" si="2"/>
        <v>13388.999003000001</v>
      </c>
      <c r="AK35" s="8">
        <f t="shared" si="3"/>
        <v>687.16900300000088</v>
      </c>
    </row>
    <row r="36" spans="1:37" x14ac:dyDescent="0.3">
      <c r="A36" s="1">
        <v>38</v>
      </c>
      <c r="B36" s="2" t="s">
        <v>319</v>
      </c>
      <c r="C36" s="2" t="s">
        <v>90</v>
      </c>
      <c r="D36" s="2" t="s">
        <v>28</v>
      </c>
      <c r="E36" s="1">
        <v>0</v>
      </c>
      <c r="F36" s="2" t="s">
        <v>320</v>
      </c>
      <c r="G36" s="2" t="s">
        <v>321</v>
      </c>
      <c r="H36" s="2" t="s">
        <v>31</v>
      </c>
      <c r="I36" s="2" t="s">
        <v>32</v>
      </c>
      <c r="J36" s="2" t="s">
        <v>322</v>
      </c>
      <c r="K36" s="10" t="s">
        <v>2823</v>
      </c>
      <c r="L36" s="2" t="s">
        <v>323</v>
      </c>
      <c r="M36" s="2" t="s">
        <v>324</v>
      </c>
      <c r="N36" s="2" t="s">
        <v>31</v>
      </c>
      <c r="O36" s="2" t="s">
        <v>31</v>
      </c>
      <c r="P36" s="2" t="s">
        <v>325</v>
      </c>
      <c r="Q36" s="2" t="s">
        <v>326</v>
      </c>
      <c r="R36" s="2" t="s">
        <v>48</v>
      </c>
      <c r="S36" s="2" t="s">
        <v>31</v>
      </c>
      <c r="T36" s="2" t="s">
        <v>327</v>
      </c>
      <c r="U36" s="2">
        <v>0</v>
      </c>
      <c r="V36" s="10">
        <v>1920</v>
      </c>
      <c r="W36" s="10">
        <v>2292</v>
      </c>
      <c r="X36" s="11">
        <v>1</v>
      </c>
      <c r="Y36" s="11">
        <v>0</v>
      </c>
      <c r="Z36" s="2" t="s">
        <v>31</v>
      </c>
      <c r="AA36" s="2" t="s">
        <v>328</v>
      </c>
      <c r="AB36" s="3">
        <v>33093</v>
      </c>
      <c r="AC36" s="2">
        <v>100</v>
      </c>
      <c r="AD36" s="2" t="s">
        <v>39</v>
      </c>
      <c r="AE36" s="2">
        <v>33.21</v>
      </c>
      <c r="AF36" s="4">
        <v>2067500</v>
      </c>
      <c r="AG36" s="8">
        <v>35478.300000000003</v>
      </c>
      <c r="AH36" s="8">
        <f t="shared" si="0"/>
        <v>38142.720330000004</v>
      </c>
      <c r="AI36" s="8">
        <f t="shared" si="1"/>
        <v>2664.4203300000008</v>
      </c>
      <c r="AJ36" s="8">
        <f t="shared" si="2"/>
        <v>37397.676030000002</v>
      </c>
      <c r="AK36" s="8">
        <f t="shared" si="3"/>
        <v>1919.3760299999994</v>
      </c>
    </row>
    <row r="37" spans="1:37" x14ac:dyDescent="0.3">
      <c r="A37" s="1">
        <v>39</v>
      </c>
      <c r="B37" s="2" t="s">
        <v>329</v>
      </c>
      <c r="C37" s="2" t="s">
        <v>90</v>
      </c>
      <c r="D37" s="2" t="s">
        <v>28</v>
      </c>
      <c r="E37" s="1">
        <v>0</v>
      </c>
      <c r="F37" s="2" t="s">
        <v>330</v>
      </c>
      <c r="G37" s="2" t="s">
        <v>331</v>
      </c>
      <c r="H37" s="2" t="s">
        <v>31</v>
      </c>
      <c r="I37" s="2" t="s">
        <v>32</v>
      </c>
      <c r="J37" s="2" t="s">
        <v>332</v>
      </c>
      <c r="K37" s="10" t="s">
        <v>2823</v>
      </c>
      <c r="L37" s="2" t="s">
        <v>94</v>
      </c>
      <c r="M37" s="2" t="s">
        <v>31</v>
      </c>
      <c r="N37" s="2" t="s">
        <v>31</v>
      </c>
      <c r="O37" s="2" t="s">
        <v>31</v>
      </c>
      <c r="P37" s="2" t="s">
        <v>95</v>
      </c>
      <c r="Q37" s="2" t="s">
        <v>333</v>
      </c>
      <c r="R37" s="2" t="s">
        <v>48</v>
      </c>
      <c r="S37" s="2" t="s">
        <v>31</v>
      </c>
      <c r="T37" s="2" t="s">
        <v>97</v>
      </c>
      <c r="U37" s="2">
        <v>0</v>
      </c>
      <c r="V37" s="10">
        <v>1920</v>
      </c>
      <c r="W37" s="10">
        <v>1600.7</v>
      </c>
      <c r="X37" s="11">
        <v>1</v>
      </c>
      <c r="Y37" s="11">
        <v>0</v>
      </c>
      <c r="Z37" s="2" t="s">
        <v>31</v>
      </c>
      <c r="AA37" s="2" t="s">
        <v>334</v>
      </c>
      <c r="AB37" s="3">
        <v>41274</v>
      </c>
      <c r="AC37" s="2">
        <v>675000</v>
      </c>
      <c r="AD37" s="2" t="s">
        <v>39</v>
      </c>
      <c r="AE37" s="2">
        <v>11.82</v>
      </c>
      <c r="AF37" s="4">
        <v>1155900</v>
      </c>
      <c r="AG37" s="8">
        <v>19835.240000000002</v>
      </c>
      <c r="AH37" s="8">
        <f t="shared" si="0"/>
        <v>21324.866524000001</v>
      </c>
      <c r="AI37" s="8">
        <f t="shared" si="1"/>
        <v>1489.6265239999993</v>
      </c>
      <c r="AJ37" s="8">
        <f t="shared" si="2"/>
        <v>20908.326484000001</v>
      </c>
      <c r="AK37" s="8">
        <f t="shared" si="3"/>
        <v>1073.0864839999995</v>
      </c>
    </row>
    <row r="38" spans="1:37" x14ac:dyDescent="0.3">
      <c r="A38" s="1">
        <v>40</v>
      </c>
      <c r="B38" s="2" t="s">
        <v>335</v>
      </c>
      <c r="C38" s="2" t="s">
        <v>90</v>
      </c>
      <c r="D38" s="2" t="s">
        <v>28</v>
      </c>
      <c r="E38" s="1">
        <v>0</v>
      </c>
      <c r="F38" s="2" t="s">
        <v>336</v>
      </c>
      <c r="G38" s="2" t="s">
        <v>337</v>
      </c>
      <c r="H38" s="2" t="s">
        <v>31</v>
      </c>
      <c r="I38" s="2" t="s">
        <v>32</v>
      </c>
      <c r="J38" s="2" t="s">
        <v>338</v>
      </c>
      <c r="K38" s="10" t="s">
        <v>2823</v>
      </c>
      <c r="L38" s="2" t="s">
        <v>94</v>
      </c>
      <c r="M38" s="2" t="s">
        <v>31</v>
      </c>
      <c r="N38" s="2" t="s">
        <v>31</v>
      </c>
      <c r="O38" s="2" t="s">
        <v>31</v>
      </c>
      <c r="P38" s="2" t="s">
        <v>95</v>
      </c>
      <c r="Q38" s="2" t="s">
        <v>333</v>
      </c>
      <c r="R38" s="2" t="s">
        <v>48</v>
      </c>
      <c r="S38" s="2" t="s">
        <v>31</v>
      </c>
      <c r="T38" s="2" t="s">
        <v>97</v>
      </c>
      <c r="U38" s="2">
        <v>0</v>
      </c>
      <c r="V38" s="10">
        <v>1920</v>
      </c>
      <c r="W38" s="10">
        <v>1844</v>
      </c>
      <c r="X38" s="11">
        <v>1</v>
      </c>
      <c r="Y38" s="11">
        <v>0</v>
      </c>
      <c r="Z38" s="2" t="s">
        <v>31</v>
      </c>
      <c r="AA38" s="2" t="s">
        <v>339</v>
      </c>
      <c r="AB38" s="3">
        <v>41274</v>
      </c>
      <c r="AC38" s="2">
        <v>750000</v>
      </c>
      <c r="AD38" s="2" t="s">
        <v>39</v>
      </c>
      <c r="AE38" s="2">
        <v>13.74</v>
      </c>
      <c r="AF38" s="4">
        <v>1066200</v>
      </c>
      <c r="AG38" s="8">
        <v>18295.990000000002</v>
      </c>
      <c r="AH38" s="8">
        <f t="shared" si="0"/>
        <v>19670.018849</v>
      </c>
      <c r="AI38" s="8">
        <f t="shared" si="1"/>
        <v>1374.0288489999984</v>
      </c>
      <c r="AJ38" s="8">
        <f t="shared" si="2"/>
        <v>19285.803059000002</v>
      </c>
      <c r="AK38" s="8">
        <f t="shared" si="3"/>
        <v>989.81305900000007</v>
      </c>
    </row>
    <row r="39" spans="1:37" x14ac:dyDescent="0.3">
      <c r="A39" s="1">
        <v>42</v>
      </c>
      <c r="B39" s="2" t="s">
        <v>340</v>
      </c>
      <c r="C39" s="2" t="s">
        <v>100</v>
      </c>
      <c r="D39" s="2" t="s">
        <v>101</v>
      </c>
      <c r="E39" s="1">
        <v>1</v>
      </c>
      <c r="F39" s="2" t="s">
        <v>341</v>
      </c>
      <c r="G39" s="2" t="s">
        <v>342</v>
      </c>
      <c r="H39" s="2" t="s">
        <v>31</v>
      </c>
      <c r="I39" s="2" t="s">
        <v>343</v>
      </c>
      <c r="J39" s="2" t="s">
        <v>344</v>
      </c>
      <c r="K39" s="10" t="s">
        <v>2824</v>
      </c>
      <c r="L39" s="2" t="s">
        <v>345</v>
      </c>
      <c r="M39" s="2" t="s">
        <v>346</v>
      </c>
      <c r="N39" s="2" t="s">
        <v>347</v>
      </c>
      <c r="O39" s="2" t="s">
        <v>348</v>
      </c>
      <c r="P39" s="2" t="s">
        <v>349</v>
      </c>
      <c r="Q39" s="2" t="s">
        <v>59</v>
      </c>
      <c r="R39" s="2" t="s">
        <v>48</v>
      </c>
      <c r="S39" s="2" t="s">
        <v>31</v>
      </c>
      <c r="T39" s="2" t="s">
        <v>60</v>
      </c>
      <c r="U39" s="2">
        <v>0</v>
      </c>
      <c r="V39" s="10">
        <v>1905</v>
      </c>
      <c r="W39" s="10">
        <v>1617</v>
      </c>
      <c r="X39" s="11">
        <v>0</v>
      </c>
      <c r="Y39" s="11">
        <v>1</v>
      </c>
      <c r="Z39" s="2" t="s">
        <v>31</v>
      </c>
      <c r="AA39" s="2" t="s">
        <v>350</v>
      </c>
      <c r="AB39" s="3">
        <v>42152</v>
      </c>
      <c r="AC39" s="2">
        <v>961000</v>
      </c>
      <c r="AD39" s="2" t="s">
        <v>107</v>
      </c>
      <c r="AE39" s="2">
        <v>25</v>
      </c>
      <c r="AF39" s="4">
        <v>1317700</v>
      </c>
      <c r="AG39" s="8">
        <v>9858.31</v>
      </c>
      <c r="AH39" s="8">
        <f t="shared" si="0"/>
        <v>10598.669080999998</v>
      </c>
      <c r="AI39" s="8">
        <f t="shared" si="1"/>
        <v>740.3590809999987</v>
      </c>
      <c r="AJ39" s="8">
        <f t="shared" si="2"/>
        <v>10391.644571000001</v>
      </c>
      <c r="AK39" s="8">
        <f t="shared" si="3"/>
        <v>533.33457100000123</v>
      </c>
    </row>
    <row r="40" spans="1:37" x14ac:dyDescent="0.3">
      <c r="A40" s="1">
        <v>43</v>
      </c>
      <c r="B40" s="2" t="s">
        <v>351</v>
      </c>
      <c r="C40" s="2" t="s">
        <v>100</v>
      </c>
      <c r="D40" s="2" t="s">
        <v>101</v>
      </c>
      <c r="E40" s="1">
        <v>1</v>
      </c>
      <c r="F40" s="2" t="s">
        <v>352</v>
      </c>
      <c r="G40" s="2" t="s">
        <v>342</v>
      </c>
      <c r="H40" s="2" t="s">
        <v>31</v>
      </c>
      <c r="I40" s="2" t="s">
        <v>343</v>
      </c>
      <c r="J40" s="2" t="s">
        <v>322</v>
      </c>
      <c r="K40" s="10" t="s">
        <v>2824</v>
      </c>
      <c r="L40" s="2" t="s">
        <v>353</v>
      </c>
      <c r="M40" s="2" t="s">
        <v>354</v>
      </c>
      <c r="N40" s="2" t="s">
        <v>31</v>
      </c>
      <c r="O40" s="2" t="s">
        <v>31</v>
      </c>
      <c r="P40" s="2" t="s">
        <v>355</v>
      </c>
      <c r="Q40" s="2" t="s">
        <v>59</v>
      </c>
      <c r="R40" s="2" t="s">
        <v>48</v>
      </c>
      <c r="S40" s="2" t="s">
        <v>31</v>
      </c>
      <c r="T40" s="2" t="s">
        <v>60</v>
      </c>
      <c r="U40" s="2">
        <v>0</v>
      </c>
      <c r="V40" s="10">
        <v>1905</v>
      </c>
      <c r="W40" s="10">
        <v>1617</v>
      </c>
      <c r="X40" s="11">
        <v>0</v>
      </c>
      <c r="Y40" s="11">
        <v>1</v>
      </c>
      <c r="Z40" s="2" t="s">
        <v>31</v>
      </c>
      <c r="AA40" s="2" t="s">
        <v>356</v>
      </c>
      <c r="AB40" s="3">
        <v>29977</v>
      </c>
      <c r="AC40" s="2">
        <v>67000</v>
      </c>
      <c r="AD40" s="2" t="s">
        <v>107</v>
      </c>
      <c r="AE40" s="2">
        <v>25</v>
      </c>
      <c r="AF40" s="4">
        <v>1150500</v>
      </c>
      <c r="AG40" s="8">
        <v>8146.19</v>
      </c>
      <c r="AH40" s="8">
        <f t="shared" si="0"/>
        <v>8757.9688689999984</v>
      </c>
      <c r="AI40" s="8">
        <f t="shared" si="1"/>
        <v>611.77886899999885</v>
      </c>
      <c r="AJ40" s="8">
        <f t="shared" si="2"/>
        <v>8586.8988790000003</v>
      </c>
      <c r="AK40" s="8">
        <f t="shared" si="3"/>
        <v>440.70887900000071</v>
      </c>
    </row>
    <row r="41" spans="1:37" x14ac:dyDescent="0.3">
      <c r="A41" s="1">
        <v>44</v>
      </c>
      <c r="B41" s="2" t="s">
        <v>357</v>
      </c>
      <c r="C41" s="2" t="s">
        <v>100</v>
      </c>
      <c r="D41" s="2" t="s">
        <v>101</v>
      </c>
      <c r="E41" s="1">
        <v>1</v>
      </c>
      <c r="F41" s="2" t="s">
        <v>358</v>
      </c>
      <c r="G41" s="2" t="s">
        <v>342</v>
      </c>
      <c r="H41" s="2" t="s">
        <v>31</v>
      </c>
      <c r="I41" s="2" t="s">
        <v>343</v>
      </c>
      <c r="J41" s="2" t="s">
        <v>359</v>
      </c>
      <c r="K41" s="10" t="s">
        <v>2824</v>
      </c>
      <c r="L41" s="2" t="s">
        <v>353</v>
      </c>
      <c r="M41" s="2" t="s">
        <v>354</v>
      </c>
      <c r="N41" s="2" t="s">
        <v>31</v>
      </c>
      <c r="O41" s="2" t="s">
        <v>31</v>
      </c>
      <c r="P41" s="2" t="s">
        <v>355</v>
      </c>
      <c r="Q41" s="2" t="s">
        <v>59</v>
      </c>
      <c r="R41" s="2" t="s">
        <v>48</v>
      </c>
      <c r="S41" s="2" t="s">
        <v>31</v>
      </c>
      <c r="T41" s="2" t="s">
        <v>60</v>
      </c>
      <c r="U41" s="2">
        <v>0</v>
      </c>
      <c r="V41" s="10">
        <v>1905</v>
      </c>
      <c r="W41" s="10">
        <v>1617</v>
      </c>
      <c r="X41" s="11">
        <v>0</v>
      </c>
      <c r="Y41" s="11">
        <v>1</v>
      </c>
      <c r="Z41" s="2" t="s">
        <v>31</v>
      </c>
      <c r="AA41" s="2" t="s">
        <v>360</v>
      </c>
      <c r="AB41" s="3">
        <v>36739</v>
      </c>
      <c r="AC41" s="2">
        <v>420000</v>
      </c>
      <c r="AD41" s="2" t="s">
        <v>39</v>
      </c>
      <c r="AE41" s="2">
        <v>25</v>
      </c>
      <c r="AF41" s="4">
        <v>1149400</v>
      </c>
      <c r="AG41" s="8">
        <v>11769.86</v>
      </c>
      <c r="AH41" s="8">
        <f t="shared" si="0"/>
        <v>12653.776486000001</v>
      </c>
      <c r="AI41" s="8">
        <f t="shared" si="1"/>
        <v>883.91648600000008</v>
      </c>
      <c r="AJ41" s="8">
        <f t="shared" si="2"/>
        <v>12406.609426000001</v>
      </c>
      <c r="AK41" s="8">
        <f t="shared" si="3"/>
        <v>636.74942600000031</v>
      </c>
    </row>
    <row r="42" spans="1:37" x14ac:dyDescent="0.3">
      <c r="A42" s="1">
        <v>45</v>
      </c>
      <c r="B42" s="2" t="s">
        <v>361</v>
      </c>
      <c r="C42" s="2" t="s">
        <v>100</v>
      </c>
      <c r="D42" s="2" t="s">
        <v>101</v>
      </c>
      <c r="E42" s="1">
        <v>1</v>
      </c>
      <c r="F42" s="2" t="s">
        <v>362</v>
      </c>
      <c r="G42" s="2" t="s">
        <v>342</v>
      </c>
      <c r="H42" s="2" t="s">
        <v>31</v>
      </c>
      <c r="I42" s="2" t="s">
        <v>343</v>
      </c>
      <c r="J42" s="2" t="s">
        <v>363</v>
      </c>
      <c r="K42" s="10" t="s">
        <v>2824</v>
      </c>
      <c r="L42" s="2" t="s">
        <v>364</v>
      </c>
      <c r="M42" s="2" t="s">
        <v>365</v>
      </c>
      <c r="N42" s="2" t="s">
        <v>31</v>
      </c>
      <c r="O42" s="2" t="s">
        <v>31</v>
      </c>
      <c r="P42" s="2" t="s">
        <v>366</v>
      </c>
      <c r="Q42" s="2" t="s">
        <v>367</v>
      </c>
      <c r="R42" s="2" t="s">
        <v>210</v>
      </c>
      <c r="S42" s="2" t="s">
        <v>31</v>
      </c>
      <c r="T42" s="2" t="s">
        <v>368</v>
      </c>
      <c r="U42" s="2">
        <v>0</v>
      </c>
      <c r="V42" s="10">
        <v>1905</v>
      </c>
      <c r="W42" s="10">
        <v>1518</v>
      </c>
      <c r="X42" s="11">
        <v>0</v>
      </c>
      <c r="Y42" s="11">
        <v>1</v>
      </c>
      <c r="Z42" s="2" t="s">
        <v>31</v>
      </c>
      <c r="AA42" s="2" t="s">
        <v>369</v>
      </c>
      <c r="AB42" s="3">
        <v>36465</v>
      </c>
      <c r="AC42" s="2">
        <v>370000</v>
      </c>
      <c r="AD42" s="2" t="s">
        <v>39</v>
      </c>
      <c r="AE42" s="2">
        <v>25</v>
      </c>
      <c r="AF42" s="4">
        <v>1292300</v>
      </c>
      <c r="AG42" s="8">
        <v>13233.15</v>
      </c>
      <c r="AH42" s="8">
        <f t="shared" si="0"/>
        <v>14226.959564999999</v>
      </c>
      <c r="AI42" s="8">
        <f t="shared" si="1"/>
        <v>993.80956499999957</v>
      </c>
      <c r="AJ42" s="8">
        <f t="shared" si="2"/>
        <v>13949.063415000001</v>
      </c>
      <c r="AK42" s="8">
        <f t="shared" si="3"/>
        <v>715.9134150000009</v>
      </c>
    </row>
    <row r="43" spans="1:37" x14ac:dyDescent="0.3">
      <c r="A43" s="1">
        <v>46</v>
      </c>
      <c r="B43" s="2" t="s">
        <v>370</v>
      </c>
      <c r="C43" s="2" t="s">
        <v>371</v>
      </c>
      <c r="D43" s="2" t="s">
        <v>101</v>
      </c>
      <c r="E43" s="1">
        <v>1</v>
      </c>
      <c r="F43" s="2" t="s">
        <v>372</v>
      </c>
      <c r="G43" s="2" t="s">
        <v>373</v>
      </c>
      <c r="H43" s="2" t="s">
        <v>31</v>
      </c>
      <c r="I43" s="2" t="s">
        <v>343</v>
      </c>
      <c r="J43" s="2" t="s">
        <v>31</v>
      </c>
      <c r="K43" s="10" t="s">
        <v>31</v>
      </c>
      <c r="L43" s="2" t="s">
        <v>374</v>
      </c>
      <c r="M43" s="2" t="s">
        <v>375</v>
      </c>
      <c r="N43" s="2" t="s">
        <v>376</v>
      </c>
      <c r="O43" s="2" t="s">
        <v>377</v>
      </c>
      <c r="P43" s="2" t="s">
        <v>378</v>
      </c>
      <c r="Q43" s="2" t="s">
        <v>59</v>
      </c>
      <c r="R43" s="2" t="s">
        <v>48</v>
      </c>
      <c r="S43" s="2" t="s">
        <v>31</v>
      </c>
      <c r="T43" s="2" t="s">
        <v>60</v>
      </c>
      <c r="U43" s="2">
        <v>6810</v>
      </c>
      <c r="V43" s="10">
        <v>1900</v>
      </c>
      <c r="W43" s="10">
        <v>3350.6000100000001</v>
      </c>
      <c r="X43" s="11">
        <v>0</v>
      </c>
      <c r="Y43" s="11">
        <v>1</v>
      </c>
      <c r="Z43" s="2" t="s">
        <v>380</v>
      </c>
      <c r="AA43" s="2" t="s">
        <v>379</v>
      </c>
      <c r="AB43" s="3">
        <v>42978</v>
      </c>
      <c r="AC43" s="2">
        <v>1965900</v>
      </c>
      <c r="AD43" s="2" t="s">
        <v>107</v>
      </c>
      <c r="AE43" s="2">
        <v>0</v>
      </c>
      <c r="AF43" s="4">
        <v>2881100</v>
      </c>
      <c r="AG43" s="8">
        <v>25867.53</v>
      </c>
      <c r="AH43" s="8">
        <f t="shared" si="0"/>
        <v>27810.181502999996</v>
      </c>
      <c r="AI43" s="8">
        <f t="shared" si="1"/>
        <v>1942.6515029999973</v>
      </c>
      <c r="AJ43" s="8">
        <f t="shared" si="2"/>
        <v>27266.963372999999</v>
      </c>
      <c r="AK43" s="8">
        <f t="shared" si="3"/>
        <v>1399.4333729999998</v>
      </c>
    </row>
    <row r="44" spans="1:37" x14ac:dyDescent="0.3">
      <c r="A44" s="1">
        <v>47</v>
      </c>
      <c r="B44" s="2" t="s">
        <v>381</v>
      </c>
      <c r="C44" s="2" t="s">
        <v>371</v>
      </c>
      <c r="D44" s="2" t="s">
        <v>101</v>
      </c>
      <c r="E44" s="1">
        <v>1</v>
      </c>
      <c r="F44" s="2" t="s">
        <v>382</v>
      </c>
      <c r="G44" s="2" t="s">
        <v>383</v>
      </c>
      <c r="H44" s="2" t="s">
        <v>31</v>
      </c>
      <c r="I44" s="2" t="s">
        <v>343</v>
      </c>
      <c r="J44" s="2" t="s">
        <v>31</v>
      </c>
      <c r="K44" s="10" t="s">
        <v>31</v>
      </c>
      <c r="L44" s="2" t="s">
        <v>384</v>
      </c>
      <c r="M44" s="2" t="s">
        <v>385</v>
      </c>
      <c r="N44" s="2" t="s">
        <v>31</v>
      </c>
      <c r="O44" s="2" t="s">
        <v>31</v>
      </c>
      <c r="P44" s="2" t="s">
        <v>386</v>
      </c>
      <c r="Q44" s="2" t="s">
        <v>59</v>
      </c>
      <c r="R44" s="2" t="s">
        <v>48</v>
      </c>
      <c r="S44" s="2" t="s">
        <v>31</v>
      </c>
      <c r="T44" s="2" t="s">
        <v>60</v>
      </c>
      <c r="U44" s="2">
        <v>15016</v>
      </c>
      <c r="V44" s="10">
        <v>1920</v>
      </c>
      <c r="W44" s="10">
        <v>4704.3000199999997</v>
      </c>
      <c r="X44" s="11">
        <v>0</v>
      </c>
      <c r="Y44" s="11">
        <v>1</v>
      </c>
      <c r="Z44" s="2" t="s">
        <v>380</v>
      </c>
      <c r="AA44" s="2" t="s">
        <v>387</v>
      </c>
      <c r="AB44" s="3">
        <v>35471</v>
      </c>
      <c r="AC44" s="2">
        <v>665750</v>
      </c>
      <c r="AD44" s="2" t="s">
        <v>107</v>
      </c>
      <c r="AE44" s="2">
        <v>0</v>
      </c>
      <c r="AF44" s="4">
        <v>4464000</v>
      </c>
      <c r="AG44" s="8">
        <v>42076.43</v>
      </c>
      <c r="AH44" s="8">
        <f t="shared" si="0"/>
        <v>45236.369892999995</v>
      </c>
      <c r="AI44" s="8">
        <f t="shared" si="1"/>
        <v>3159.9398929999952</v>
      </c>
      <c r="AJ44" s="8">
        <f t="shared" si="2"/>
        <v>44352.764863000004</v>
      </c>
      <c r="AK44" s="8">
        <f t="shared" si="3"/>
        <v>2276.3348630000037</v>
      </c>
    </row>
    <row r="45" spans="1:37" x14ac:dyDescent="0.3">
      <c r="A45" s="1">
        <v>48</v>
      </c>
      <c r="B45" s="2" t="s">
        <v>388</v>
      </c>
      <c r="C45" s="2" t="s">
        <v>371</v>
      </c>
      <c r="D45" s="2" t="s">
        <v>101</v>
      </c>
      <c r="E45" s="1">
        <v>1</v>
      </c>
      <c r="F45" s="2" t="s">
        <v>389</v>
      </c>
      <c r="G45" s="2" t="s">
        <v>390</v>
      </c>
      <c r="H45" s="2" t="s">
        <v>31</v>
      </c>
      <c r="I45" s="2" t="s">
        <v>343</v>
      </c>
      <c r="J45" s="2" t="s">
        <v>31</v>
      </c>
      <c r="K45" s="10" t="s">
        <v>31</v>
      </c>
      <c r="L45" s="2" t="s">
        <v>391</v>
      </c>
      <c r="M45" s="2" t="s">
        <v>392</v>
      </c>
      <c r="N45" s="2" t="s">
        <v>393</v>
      </c>
      <c r="O45" s="2" t="s">
        <v>394</v>
      </c>
      <c r="P45" s="2" t="s">
        <v>395</v>
      </c>
      <c r="Q45" s="2" t="s">
        <v>59</v>
      </c>
      <c r="R45" s="2" t="s">
        <v>48</v>
      </c>
      <c r="S45" s="2" t="s">
        <v>31</v>
      </c>
      <c r="T45" s="2" t="s">
        <v>60</v>
      </c>
      <c r="U45" s="2">
        <v>16297</v>
      </c>
      <c r="V45" s="10">
        <v>1855</v>
      </c>
      <c r="W45" s="10">
        <v>3237.2</v>
      </c>
      <c r="X45" s="11">
        <v>0</v>
      </c>
      <c r="Y45" s="11">
        <v>1</v>
      </c>
      <c r="Z45" s="2" t="s">
        <v>380</v>
      </c>
      <c r="AA45" s="2" t="s">
        <v>396</v>
      </c>
      <c r="AB45" s="3">
        <v>36165</v>
      </c>
      <c r="AC45" s="2">
        <v>1075000</v>
      </c>
      <c r="AD45" s="2" t="s">
        <v>107</v>
      </c>
      <c r="AE45" s="2">
        <v>0</v>
      </c>
      <c r="AF45" s="4">
        <v>3985000</v>
      </c>
      <c r="AG45" s="8">
        <v>37171.47</v>
      </c>
      <c r="AH45" s="8">
        <f t="shared" si="0"/>
        <v>39963.047397000002</v>
      </c>
      <c r="AI45" s="8">
        <f t="shared" si="1"/>
        <v>2791.5773970000009</v>
      </c>
      <c r="AJ45" s="8">
        <f t="shared" si="2"/>
        <v>39182.446527</v>
      </c>
      <c r="AK45" s="8">
        <f t="shared" si="3"/>
        <v>2010.9765269999989</v>
      </c>
    </row>
    <row r="46" spans="1:37" x14ac:dyDescent="0.3">
      <c r="A46" s="1">
        <v>49</v>
      </c>
      <c r="B46" s="2" t="s">
        <v>397</v>
      </c>
      <c r="C46" s="2" t="s">
        <v>371</v>
      </c>
      <c r="D46" s="2" t="s">
        <v>101</v>
      </c>
      <c r="E46" s="1">
        <v>1</v>
      </c>
      <c r="F46" s="2" t="s">
        <v>398</v>
      </c>
      <c r="G46" s="2" t="s">
        <v>399</v>
      </c>
      <c r="H46" s="2" t="s">
        <v>31</v>
      </c>
      <c r="I46" s="2" t="s">
        <v>343</v>
      </c>
      <c r="J46" s="2" t="s">
        <v>31</v>
      </c>
      <c r="K46" s="10" t="s">
        <v>31</v>
      </c>
      <c r="L46" s="2" t="s">
        <v>400</v>
      </c>
      <c r="M46" s="2" t="s">
        <v>401</v>
      </c>
      <c r="N46" s="2" t="s">
        <v>402</v>
      </c>
      <c r="O46" s="2" t="s">
        <v>403</v>
      </c>
      <c r="P46" s="2" t="s">
        <v>404</v>
      </c>
      <c r="Q46" s="2" t="s">
        <v>59</v>
      </c>
      <c r="R46" s="2" t="s">
        <v>48</v>
      </c>
      <c r="S46" s="2" t="s">
        <v>31</v>
      </c>
      <c r="T46" s="2" t="s">
        <v>60</v>
      </c>
      <c r="U46" s="2">
        <v>15333</v>
      </c>
      <c r="V46" s="10">
        <v>1925</v>
      </c>
      <c r="W46" s="10">
        <v>6128.5</v>
      </c>
      <c r="X46" s="11">
        <v>0</v>
      </c>
      <c r="Y46" s="11">
        <v>1</v>
      </c>
      <c r="Z46" s="2" t="s">
        <v>380</v>
      </c>
      <c r="AA46" s="2" t="s">
        <v>405</v>
      </c>
      <c r="AB46" s="3">
        <v>38778</v>
      </c>
      <c r="AC46" s="2">
        <v>1</v>
      </c>
      <c r="AD46" s="2" t="s">
        <v>107</v>
      </c>
      <c r="AE46" s="2">
        <v>0</v>
      </c>
      <c r="AF46" s="4">
        <v>5709000</v>
      </c>
      <c r="AG46" s="8">
        <v>54825.23</v>
      </c>
      <c r="AH46" s="8">
        <f t="shared" si="0"/>
        <v>58942.604772999999</v>
      </c>
      <c r="AI46" s="8">
        <f t="shared" si="1"/>
        <v>4117.3747729999959</v>
      </c>
      <c r="AJ46" s="8">
        <f t="shared" si="2"/>
        <v>57791.274943000004</v>
      </c>
      <c r="AK46" s="8">
        <f t="shared" si="3"/>
        <v>2966.0449430000008</v>
      </c>
    </row>
    <row r="47" spans="1:37" x14ac:dyDescent="0.3">
      <c r="A47" s="1">
        <v>50</v>
      </c>
      <c r="B47" s="2" t="s">
        <v>406</v>
      </c>
      <c r="C47" s="2" t="s">
        <v>407</v>
      </c>
      <c r="D47" s="2" t="s">
        <v>101</v>
      </c>
      <c r="E47" s="1" t="s">
        <v>31</v>
      </c>
      <c r="F47" s="2" t="s">
        <v>408</v>
      </c>
      <c r="G47" s="2" t="s">
        <v>31</v>
      </c>
      <c r="H47" s="2" t="s">
        <v>31</v>
      </c>
      <c r="I47" s="2" t="s">
        <v>409</v>
      </c>
      <c r="J47" s="2" t="s">
        <v>31</v>
      </c>
      <c r="K47" s="10" t="s">
        <v>31</v>
      </c>
      <c r="L47" s="2" t="s">
        <v>410</v>
      </c>
      <c r="M47" s="2" t="s">
        <v>411</v>
      </c>
      <c r="N47" s="2" t="s">
        <v>412</v>
      </c>
      <c r="O47" s="2" t="s">
        <v>413</v>
      </c>
      <c r="P47" s="2" t="s">
        <v>414</v>
      </c>
      <c r="Q47" s="2" t="s">
        <v>59</v>
      </c>
      <c r="R47" s="2" t="s">
        <v>48</v>
      </c>
      <c r="S47" s="2" t="s">
        <v>31</v>
      </c>
      <c r="T47" s="2" t="s">
        <v>60</v>
      </c>
      <c r="U47" s="2">
        <v>1800</v>
      </c>
      <c r="V47" s="10" t="s">
        <v>31</v>
      </c>
      <c r="W47" s="10">
        <v>0</v>
      </c>
      <c r="X47" s="11" t="s">
        <v>31</v>
      </c>
      <c r="Y47" s="11" t="s">
        <v>31</v>
      </c>
      <c r="Z47" s="2" t="s">
        <v>380</v>
      </c>
      <c r="AA47" s="2" t="s">
        <v>415</v>
      </c>
      <c r="AB47" s="3">
        <v>44424</v>
      </c>
      <c r="AC47" s="2">
        <v>6775000</v>
      </c>
      <c r="AD47" s="2" t="s">
        <v>39</v>
      </c>
      <c r="AE47" s="2" t="s">
        <v>31</v>
      </c>
      <c r="AF47" s="4">
        <v>22900</v>
      </c>
      <c r="AG47" s="8">
        <v>234.5</v>
      </c>
      <c r="AH47" s="8">
        <f t="shared" si="0"/>
        <v>252.11094999999997</v>
      </c>
      <c r="AI47" s="8">
        <f t="shared" si="1"/>
        <v>17.610949999999974</v>
      </c>
      <c r="AJ47" s="8">
        <f t="shared" si="2"/>
        <v>247.18645000000001</v>
      </c>
      <c r="AK47" s="8">
        <f t="shared" si="3"/>
        <v>12.686450000000008</v>
      </c>
    </row>
    <row r="48" spans="1:37" x14ac:dyDescent="0.3">
      <c r="A48" s="1">
        <v>51</v>
      </c>
      <c r="B48" s="2" t="s">
        <v>416</v>
      </c>
      <c r="C48" s="2" t="s">
        <v>417</v>
      </c>
      <c r="D48" s="2" t="s">
        <v>101</v>
      </c>
      <c r="E48" s="1" t="s">
        <v>31</v>
      </c>
      <c r="F48" s="2" t="s">
        <v>418</v>
      </c>
      <c r="G48" s="2" t="s">
        <v>31</v>
      </c>
      <c r="H48" s="2" t="s">
        <v>31</v>
      </c>
      <c r="I48" s="2" t="s">
        <v>409</v>
      </c>
      <c r="J48" s="2" t="s">
        <v>31</v>
      </c>
      <c r="K48" s="10" t="s">
        <v>31</v>
      </c>
      <c r="L48" s="2" t="s">
        <v>400</v>
      </c>
      <c r="M48" s="2" t="s">
        <v>401</v>
      </c>
      <c r="N48" s="2" t="s">
        <v>402</v>
      </c>
      <c r="O48" s="2" t="s">
        <v>403</v>
      </c>
      <c r="P48" s="2" t="s">
        <v>404</v>
      </c>
      <c r="Q48" s="2" t="s">
        <v>59</v>
      </c>
      <c r="R48" s="2" t="s">
        <v>48</v>
      </c>
      <c r="S48" s="2" t="s">
        <v>31</v>
      </c>
      <c r="T48" s="2" t="s">
        <v>60</v>
      </c>
      <c r="U48" s="2">
        <v>1500</v>
      </c>
      <c r="V48" s="10" t="s">
        <v>31</v>
      </c>
      <c r="W48" s="10">
        <v>0</v>
      </c>
      <c r="X48" s="11" t="s">
        <v>31</v>
      </c>
      <c r="Y48" s="11" t="s">
        <v>31</v>
      </c>
      <c r="Z48" s="2" t="s">
        <v>380</v>
      </c>
      <c r="AA48" s="2" t="s">
        <v>405</v>
      </c>
      <c r="AB48" s="3">
        <v>38778</v>
      </c>
      <c r="AC48" s="2">
        <v>1</v>
      </c>
      <c r="AD48" s="2" t="s">
        <v>39</v>
      </c>
      <c r="AE48" s="2" t="s">
        <v>31</v>
      </c>
      <c r="AF48" s="4">
        <v>146500</v>
      </c>
      <c r="AG48" s="8">
        <v>1500.16</v>
      </c>
      <c r="AH48" s="8">
        <f t="shared" si="0"/>
        <v>1612.8220160000001</v>
      </c>
      <c r="AI48" s="8">
        <f t="shared" si="1"/>
        <v>112.66201599999999</v>
      </c>
      <c r="AJ48" s="8">
        <f t="shared" si="2"/>
        <v>1581.3186560000001</v>
      </c>
      <c r="AK48" s="8">
        <f t="shared" si="3"/>
        <v>81.158656000000065</v>
      </c>
    </row>
    <row r="49" spans="1:37" x14ac:dyDescent="0.3">
      <c r="A49" s="1">
        <v>52</v>
      </c>
      <c r="B49" s="2" t="s">
        <v>419</v>
      </c>
      <c r="C49" s="2" t="s">
        <v>371</v>
      </c>
      <c r="D49" s="2" t="s">
        <v>101</v>
      </c>
      <c r="E49" s="1">
        <v>1</v>
      </c>
      <c r="F49" s="2" t="s">
        <v>420</v>
      </c>
      <c r="G49" s="2" t="s">
        <v>421</v>
      </c>
      <c r="H49" s="2" t="s">
        <v>31</v>
      </c>
      <c r="I49" s="2" t="s">
        <v>409</v>
      </c>
      <c r="J49" s="2" t="s">
        <v>31</v>
      </c>
      <c r="K49" s="10" t="s">
        <v>31</v>
      </c>
      <c r="L49" s="2" t="s">
        <v>410</v>
      </c>
      <c r="M49" s="2" t="s">
        <v>411</v>
      </c>
      <c r="N49" s="2" t="s">
        <v>31</v>
      </c>
      <c r="O49" s="2" t="s">
        <v>31</v>
      </c>
      <c r="P49" s="2" t="s">
        <v>414</v>
      </c>
      <c r="Q49" s="2" t="s">
        <v>59</v>
      </c>
      <c r="R49" s="2" t="s">
        <v>48</v>
      </c>
      <c r="S49" s="2" t="s">
        <v>31</v>
      </c>
      <c r="T49" s="2" t="s">
        <v>60</v>
      </c>
      <c r="U49" s="2">
        <v>13865</v>
      </c>
      <c r="V49" s="10">
        <v>1850</v>
      </c>
      <c r="W49" s="10">
        <v>5146</v>
      </c>
      <c r="X49" s="11">
        <v>0</v>
      </c>
      <c r="Y49" s="11">
        <v>1</v>
      </c>
      <c r="Z49" s="2" t="s">
        <v>380</v>
      </c>
      <c r="AA49" s="2" t="s">
        <v>415</v>
      </c>
      <c r="AB49" s="3">
        <v>44424</v>
      </c>
      <c r="AC49" s="2">
        <v>6775000</v>
      </c>
      <c r="AD49" s="2" t="s">
        <v>39</v>
      </c>
      <c r="AE49" s="2">
        <v>0</v>
      </c>
      <c r="AF49" s="4">
        <v>5099800</v>
      </c>
      <c r="AG49" s="8">
        <v>52221.95</v>
      </c>
      <c r="AH49" s="8">
        <f t="shared" si="0"/>
        <v>56143.818444999997</v>
      </c>
      <c r="AI49" s="8">
        <f t="shared" si="1"/>
        <v>3921.8684450000001</v>
      </c>
      <c r="AJ49" s="8">
        <f t="shared" si="2"/>
        <v>55047.157494999999</v>
      </c>
      <c r="AK49" s="8">
        <f t="shared" si="3"/>
        <v>2825.2074950000024</v>
      </c>
    </row>
    <row r="50" spans="1:37" x14ac:dyDescent="0.3">
      <c r="A50" s="1">
        <v>53</v>
      </c>
      <c r="B50" s="2" t="s">
        <v>422</v>
      </c>
      <c r="C50" s="2" t="s">
        <v>423</v>
      </c>
      <c r="D50" s="2" t="s">
        <v>101</v>
      </c>
      <c r="E50" s="1">
        <v>2</v>
      </c>
      <c r="F50" s="2" t="s">
        <v>424</v>
      </c>
      <c r="G50" s="2" t="s">
        <v>425</v>
      </c>
      <c r="H50" s="2" t="s">
        <v>31</v>
      </c>
      <c r="I50" s="2" t="s">
        <v>409</v>
      </c>
      <c r="J50" s="2" t="s">
        <v>31</v>
      </c>
      <c r="K50" s="10" t="s">
        <v>31</v>
      </c>
      <c r="L50" s="2" t="s">
        <v>426</v>
      </c>
      <c r="M50" s="2" t="s">
        <v>427</v>
      </c>
      <c r="N50" s="2" t="s">
        <v>31</v>
      </c>
      <c r="O50" s="2" t="s">
        <v>31</v>
      </c>
      <c r="P50" s="2" t="s">
        <v>428</v>
      </c>
      <c r="Q50" s="2" t="s">
        <v>59</v>
      </c>
      <c r="R50" s="2" t="s">
        <v>48</v>
      </c>
      <c r="S50" s="2" t="s">
        <v>31</v>
      </c>
      <c r="T50" s="2" t="s">
        <v>60</v>
      </c>
      <c r="U50" s="2">
        <v>15804</v>
      </c>
      <c r="V50" s="10">
        <v>1852</v>
      </c>
      <c r="W50" s="10">
        <v>4733.0000300000002</v>
      </c>
      <c r="X50" s="11">
        <v>0</v>
      </c>
      <c r="Y50" s="11">
        <v>1</v>
      </c>
      <c r="Z50" s="2" t="s">
        <v>380</v>
      </c>
      <c r="AA50" s="2" t="s">
        <v>429</v>
      </c>
      <c r="AB50" s="3">
        <v>44684</v>
      </c>
      <c r="AC50" s="2">
        <v>1</v>
      </c>
      <c r="AD50" s="2" t="s">
        <v>107</v>
      </c>
      <c r="AE50" s="2">
        <v>0</v>
      </c>
      <c r="AF50" s="4">
        <v>4834400</v>
      </c>
      <c r="AG50" s="8">
        <v>45869.32</v>
      </c>
      <c r="AH50" s="8">
        <f t="shared" si="0"/>
        <v>49314.105931999999</v>
      </c>
      <c r="AI50" s="8">
        <f t="shared" si="1"/>
        <v>3444.7859319999989</v>
      </c>
      <c r="AJ50" s="8">
        <f t="shared" si="2"/>
        <v>48350.850212000005</v>
      </c>
      <c r="AK50" s="8">
        <f t="shared" si="3"/>
        <v>2481.5302120000051</v>
      </c>
    </row>
    <row r="51" spans="1:37" x14ac:dyDescent="0.3">
      <c r="A51" s="1">
        <v>54</v>
      </c>
      <c r="B51" s="2" t="s">
        <v>430</v>
      </c>
      <c r="C51" s="2" t="s">
        <v>371</v>
      </c>
      <c r="D51" s="2" t="s">
        <v>101</v>
      </c>
      <c r="E51" s="1">
        <v>2</v>
      </c>
      <c r="F51" s="2" t="s">
        <v>431</v>
      </c>
      <c r="G51" s="2" t="s">
        <v>432</v>
      </c>
      <c r="H51" s="2" t="s">
        <v>31</v>
      </c>
      <c r="I51" s="2" t="s">
        <v>409</v>
      </c>
      <c r="J51" s="2" t="s">
        <v>31</v>
      </c>
      <c r="K51" s="10" t="s">
        <v>31</v>
      </c>
      <c r="L51" s="2" t="s">
        <v>433</v>
      </c>
      <c r="M51" s="2" t="s">
        <v>31</v>
      </c>
      <c r="N51" s="2" t="s">
        <v>31</v>
      </c>
      <c r="O51" s="2" t="s">
        <v>31</v>
      </c>
      <c r="P51" s="2" t="s">
        <v>434</v>
      </c>
      <c r="Q51" s="2" t="s">
        <v>435</v>
      </c>
      <c r="R51" s="2" t="s">
        <v>48</v>
      </c>
      <c r="S51" s="2" t="s">
        <v>31</v>
      </c>
      <c r="T51" s="2" t="s">
        <v>436</v>
      </c>
      <c r="U51" s="2">
        <v>14163</v>
      </c>
      <c r="V51" s="10">
        <v>1855</v>
      </c>
      <c r="W51" s="10">
        <v>4710.5</v>
      </c>
      <c r="X51" s="11">
        <v>0</v>
      </c>
      <c r="Y51" s="11">
        <v>2</v>
      </c>
      <c r="Z51" s="2" t="s">
        <v>380</v>
      </c>
      <c r="AA51" s="2" t="s">
        <v>437</v>
      </c>
      <c r="AB51" s="3">
        <v>45082</v>
      </c>
      <c r="AC51" s="2">
        <v>3100000</v>
      </c>
      <c r="AD51" s="2" t="s">
        <v>39</v>
      </c>
      <c r="AE51" s="2">
        <v>0</v>
      </c>
      <c r="AF51" s="4">
        <v>3291200</v>
      </c>
      <c r="AG51" s="8">
        <v>33701.89</v>
      </c>
      <c r="AH51" s="8">
        <f t="shared" si="0"/>
        <v>36232.901938999996</v>
      </c>
      <c r="AI51" s="8">
        <f t="shared" si="1"/>
        <v>2531.0119389999963</v>
      </c>
      <c r="AJ51" s="8">
        <f t="shared" si="2"/>
        <v>35525.162249000001</v>
      </c>
      <c r="AK51" s="8">
        <f t="shared" si="3"/>
        <v>1823.2722490000015</v>
      </c>
    </row>
    <row r="52" spans="1:37" x14ac:dyDescent="0.3">
      <c r="A52" s="1">
        <v>55</v>
      </c>
      <c r="B52" s="2" t="s">
        <v>438</v>
      </c>
      <c r="C52" s="2" t="s">
        <v>439</v>
      </c>
      <c r="D52" s="2" t="s">
        <v>28</v>
      </c>
      <c r="E52" s="1">
        <v>20</v>
      </c>
      <c r="F52" s="2" t="s">
        <v>440</v>
      </c>
      <c r="G52" s="2" t="s">
        <v>441</v>
      </c>
      <c r="H52" s="2" t="s">
        <v>31</v>
      </c>
      <c r="I52" s="2" t="s">
        <v>409</v>
      </c>
      <c r="J52" s="2" t="s">
        <v>31</v>
      </c>
      <c r="K52" s="10" t="s">
        <v>31</v>
      </c>
      <c r="L52" s="2" t="s">
        <v>442</v>
      </c>
      <c r="M52" s="2" t="s">
        <v>31</v>
      </c>
      <c r="N52" s="2" t="s">
        <v>443</v>
      </c>
      <c r="O52" s="2" t="s">
        <v>31</v>
      </c>
      <c r="P52" s="2" t="s">
        <v>444</v>
      </c>
      <c r="Q52" s="2" t="s">
        <v>86</v>
      </c>
      <c r="R52" s="2" t="s">
        <v>48</v>
      </c>
      <c r="S52" s="2" t="s">
        <v>31</v>
      </c>
      <c r="T52" s="2" t="s">
        <v>445</v>
      </c>
      <c r="U52" s="2">
        <v>13568</v>
      </c>
      <c r="V52" s="10">
        <v>1910</v>
      </c>
      <c r="W52" s="10">
        <v>28868</v>
      </c>
      <c r="X52" s="11">
        <v>0</v>
      </c>
      <c r="Y52" s="11">
        <v>20</v>
      </c>
      <c r="Z52" s="2" t="s">
        <v>447</v>
      </c>
      <c r="AA52" s="2" t="s">
        <v>446</v>
      </c>
      <c r="AB52" s="3">
        <v>28512</v>
      </c>
      <c r="AC52" s="2">
        <v>360000</v>
      </c>
      <c r="AD52" s="2" t="s">
        <v>39</v>
      </c>
      <c r="AE52" s="2">
        <v>0</v>
      </c>
      <c r="AF52" s="4">
        <v>13405200</v>
      </c>
      <c r="AG52" s="8">
        <v>137269.25</v>
      </c>
      <c r="AH52" s="8">
        <f t="shared" si="0"/>
        <v>147578.170675</v>
      </c>
      <c r="AI52" s="8">
        <f t="shared" si="1"/>
        <v>10308.920675000001</v>
      </c>
      <c r="AJ52" s="8">
        <f t="shared" si="2"/>
        <v>144695.51642500001</v>
      </c>
      <c r="AK52" s="8">
        <f t="shared" si="3"/>
        <v>7426.2664250000089</v>
      </c>
    </row>
    <row r="53" spans="1:37" x14ac:dyDescent="0.3">
      <c r="A53" s="1">
        <v>56</v>
      </c>
      <c r="B53" s="2" t="s">
        <v>448</v>
      </c>
      <c r="C53" s="2" t="s">
        <v>449</v>
      </c>
      <c r="D53" s="2" t="s">
        <v>101</v>
      </c>
      <c r="E53" s="1">
        <v>3</v>
      </c>
      <c r="F53" s="2" t="s">
        <v>450</v>
      </c>
      <c r="G53" s="2" t="s">
        <v>451</v>
      </c>
      <c r="H53" s="2" t="s">
        <v>31</v>
      </c>
      <c r="I53" s="2" t="s">
        <v>452</v>
      </c>
      <c r="J53" s="2" t="s">
        <v>31</v>
      </c>
      <c r="K53" s="10" t="s">
        <v>31</v>
      </c>
      <c r="L53" s="2" t="s">
        <v>453</v>
      </c>
      <c r="M53" s="2" t="s">
        <v>31</v>
      </c>
      <c r="N53" s="2" t="s">
        <v>57</v>
      </c>
      <c r="O53" s="2" t="s">
        <v>31</v>
      </c>
      <c r="P53" s="2" t="s">
        <v>58</v>
      </c>
      <c r="Q53" s="2" t="s">
        <v>59</v>
      </c>
      <c r="R53" s="2" t="s">
        <v>48</v>
      </c>
      <c r="S53" s="2" t="s">
        <v>31</v>
      </c>
      <c r="T53" s="2" t="s">
        <v>60</v>
      </c>
      <c r="U53" s="2">
        <v>3078</v>
      </c>
      <c r="V53" s="10">
        <v>1890</v>
      </c>
      <c r="W53" s="10">
        <v>3920</v>
      </c>
      <c r="X53" s="11">
        <v>0</v>
      </c>
      <c r="Y53" s="11">
        <v>3</v>
      </c>
      <c r="Z53" s="2" t="s">
        <v>455</v>
      </c>
      <c r="AA53" s="2" t="s">
        <v>454</v>
      </c>
      <c r="AB53" s="3">
        <v>40695</v>
      </c>
      <c r="AC53" s="2">
        <v>950000</v>
      </c>
      <c r="AD53" s="2" t="s">
        <v>39</v>
      </c>
      <c r="AE53" s="2">
        <v>0</v>
      </c>
      <c r="AF53" s="4">
        <v>3194700</v>
      </c>
      <c r="AG53" s="8">
        <v>32713.73</v>
      </c>
      <c r="AH53" s="8">
        <f t="shared" si="0"/>
        <v>35170.531123000001</v>
      </c>
      <c r="AI53" s="8">
        <f t="shared" si="1"/>
        <v>2456.8011230000011</v>
      </c>
      <c r="AJ53" s="8">
        <f t="shared" si="2"/>
        <v>34483.542793000001</v>
      </c>
      <c r="AK53" s="8">
        <f t="shared" si="3"/>
        <v>1769.812793000001</v>
      </c>
    </row>
    <row r="54" spans="1:37" x14ac:dyDescent="0.3">
      <c r="A54" s="1">
        <v>57</v>
      </c>
      <c r="B54" s="2" t="s">
        <v>456</v>
      </c>
      <c r="C54" s="2" t="s">
        <v>371</v>
      </c>
      <c r="D54" s="2" t="s">
        <v>101</v>
      </c>
      <c r="E54" s="1">
        <v>1</v>
      </c>
      <c r="F54" s="2" t="s">
        <v>457</v>
      </c>
      <c r="G54" s="2" t="s">
        <v>458</v>
      </c>
      <c r="H54" s="2" t="s">
        <v>31</v>
      </c>
      <c r="I54" s="2" t="s">
        <v>452</v>
      </c>
      <c r="J54" s="2" t="s">
        <v>31</v>
      </c>
      <c r="K54" s="10" t="s">
        <v>31</v>
      </c>
      <c r="L54" s="2" t="s">
        <v>459</v>
      </c>
      <c r="M54" s="2" t="s">
        <v>460</v>
      </c>
      <c r="N54" s="2" t="s">
        <v>31</v>
      </c>
      <c r="O54" s="2" t="s">
        <v>31</v>
      </c>
      <c r="P54" s="2" t="s">
        <v>461</v>
      </c>
      <c r="Q54" s="2" t="s">
        <v>59</v>
      </c>
      <c r="R54" s="2" t="s">
        <v>48</v>
      </c>
      <c r="S54" s="2" t="s">
        <v>31</v>
      </c>
      <c r="T54" s="2" t="s">
        <v>60</v>
      </c>
      <c r="U54" s="2">
        <v>1921</v>
      </c>
      <c r="V54" s="10">
        <v>1890</v>
      </c>
      <c r="W54" s="10">
        <v>3440</v>
      </c>
      <c r="X54" s="11">
        <v>0</v>
      </c>
      <c r="Y54" s="11">
        <v>1</v>
      </c>
      <c r="Z54" s="2" t="s">
        <v>455</v>
      </c>
      <c r="AA54" s="2" t="s">
        <v>462</v>
      </c>
      <c r="AB54" s="3">
        <v>43973</v>
      </c>
      <c r="AC54" s="2">
        <v>2250000</v>
      </c>
      <c r="AD54" s="2" t="s">
        <v>107</v>
      </c>
      <c r="AE54" s="2">
        <v>0</v>
      </c>
      <c r="AF54" s="4">
        <v>2461000</v>
      </c>
      <c r="AG54" s="8">
        <v>21565.71</v>
      </c>
      <c r="AH54" s="8">
        <f t="shared" si="0"/>
        <v>23185.294821</v>
      </c>
      <c r="AI54" s="8">
        <f t="shared" si="1"/>
        <v>1619.5848210000004</v>
      </c>
      <c r="AJ54" s="8">
        <f t="shared" si="2"/>
        <v>22732.414911</v>
      </c>
      <c r="AK54" s="8">
        <f t="shared" si="3"/>
        <v>1166.7049110000007</v>
      </c>
    </row>
    <row r="55" spans="1:37" x14ac:dyDescent="0.3">
      <c r="A55" s="1">
        <v>58</v>
      </c>
      <c r="B55" s="2" t="s">
        <v>463</v>
      </c>
      <c r="C55" s="2" t="s">
        <v>371</v>
      </c>
      <c r="D55" s="2" t="s">
        <v>101</v>
      </c>
      <c r="E55" s="1">
        <v>1</v>
      </c>
      <c r="F55" s="2" t="s">
        <v>464</v>
      </c>
      <c r="G55" s="2" t="s">
        <v>465</v>
      </c>
      <c r="H55" s="2" t="s">
        <v>31</v>
      </c>
      <c r="I55" s="2" t="s">
        <v>452</v>
      </c>
      <c r="J55" s="2" t="s">
        <v>31</v>
      </c>
      <c r="K55" s="10" t="s">
        <v>31</v>
      </c>
      <c r="L55" s="2" t="s">
        <v>466</v>
      </c>
      <c r="M55" s="2" t="s">
        <v>467</v>
      </c>
      <c r="N55" s="2" t="s">
        <v>31</v>
      </c>
      <c r="O55" s="2" t="s">
        <v>31</v>
      </c>
      <c r="P55" s="2" t="s">
        <v>468</v>
      </c>
      <c r="Q55" s="2" t="s">
        <v>59</v>
      </c>
      <c r="R55" s="2" t="s">
        <v>48</v>
      </c>
      <c r="S55" s="2" t="s">
        <v>31</v>
      </c>
      <c r="T55" s="2" t="s">
        <v>60</v>
      </c>
      <c r="U55" s="2">
        <v>1700</v>
      </c>
      <c r="V55" s="10">
        <v>1900</v>
      </c>
      <c r="W55" s="10">
        <v>2070</v>
      </c>
      <c r="X55" s="11">
        <v>0</v>
      </c>
      <c r="Y55" s="11">
        <v>1</v>
      </c>
      <c r="Z55" s="2" t="s">
        <v>455</v>
      </c>
      <c r="AA55" s="2" t="s">
        <v>469</v>
      </c>
      <c r="AB55" s="3">
        <v>35520</v>
      </c>
      <c r="AC55" s="2">
        <v>235000</v>
      </c>
      <c r="AD55" s="2" t="s">
        <v>107</v>
      </c>
      <c r="AE55" s="2">
        <v>0</v>
      </c>
      <c r="AF55" s="4">
        <v>1956200</v>
      </c>
      <c r="AG55" s="8">
        <v>16396.55</v>
      </c>
      <c r="AH55" s="8">
        <f t="shared" si="0"/>
        <v>17627.930904999997</v>
      </c>
      <c r="AI55" s="8">
        <f t="shared" si="1"/>
        <v>1231.3809049999982</v>
      </c>
      <c r="AJ55" s="8">
        <f t="shared" si="2"/>
        <v>17283.603354999999</v>
      </c>
      <c r="AK55" s="8">
        <f t="shared" si="3"/>
        <v>887.05335500000001</v>
      </c>
    </row>
    <row r="56" spans="1:37" x14ac:dyDescent="0.3">
      <c r="A56" s="1">
        <v>59</v>
      </c>
      <c r="B56" s="2" t="s">
        <v>470</v>
      </c>
      <c r="C56" s="2" t="s">
        <v>471</v>
      </c>
      <c r="D56" s="2" t="s">
        <v>28</v>
      </c>
      <c r="E56" s="1">
        <v>4</v>
      </c>
      <c r="F56" s="2" t="s">
        <v>472</v>
      </c>
      <c r="G56" s="2" t="s">
        <v>473</v>
      </c>
      <c r="H56" s="2" t="s">
        <v>31</v>
      </c>
      <c r="I56" s="2" t="s">
        <v>452</v>
      </c>
      <c r="J56" s="2" t="s">
        <v>31</v>
      </c>
      <c r="K56" s="10" t="s">
        <v>31</v>
      </c>
      <c r="L56" s="2" t="s">
        <v>474</v>
      </c>
      <c r="M56" s="2" t="s">
        <v>31</v>
      </c>
      <c r="N56" s="2" t="s">
        <v>31</v>
      </c>
      <c r="O56" s="2" t="s">
        <v>31</v>
      </c>
      <c r="P56" s="2" t="s">
        <v>468</v>
      </c>
      <c r="Q56" s="2" t="s">
        <v>59</v>
      </c>
      <c r="R56" s="2" t="s">
        <v>48</v>
      </c>
      <c r="S56" s="2" t="s">
        <v>31</v>
      </c>
      <c r="T56" s="2" t="s">
        <v>60</v>
      </c>
      <c r="U56" s="2">
        <v>1632</v>
      </c>
      <c r="V56" s="10">
        <v>1900</v>
      </c>
      <c r="W56" s="10">
        <v>4183.99</v>
      </c>
      <c r="X56" s="11">
        <v>0</v>
      </c>
      <c r="Y56" s="11">
        <v>4</v>
      </c>
      <c r="Z56" s="2" t="s">
        <v>455</v>
      </c>
      <c r="AA56" s="2" t="s">
        <v>475</v>
      </c>
      <c r="AB56" s="3">
        <v>43481</v>
      </c>
      <c r="AC56" s="2">
        <v>1</v>
      </c>
      <c r="AD56" s="2" t="s">
        <v>39</v>
      </c>
      <c r="AE56" s="2">
        <v>0</v>
      </c>
      <c r="AF56" s="4">
        <v>1867200</v>
      </c>
      <c r="AG56" s="8">
        <v>19120.13</v>
      </c>
      <c r="AH56" s="8">
        <f t="shared" si="0"/>
        <v>20556.051762999999</v>
      </c>
      <c r="AI56" s="8">
        <f t="shared" si="1"/>
        <v>1435.9217629999985</v>
      </c>
      <c r="AJ56" s="8">
        <f t="shared" si="2"/>
        <v>20154.529033000003</v>
      </c>
      <c r="AK56" s="8">
        <f t="shared" si="3"/>
        <v>1034.3990330000015</v>
      </c>
    </row>
    <row r="57" spans="1:37" x14ac:dyDescent="0.3">
      <c r="A57" s="1">
        <v>60</v>
      </c>
      <c r="B57" s="2" t="s">
        <v>476</v>
      </c>
      <c r="C57" s="2" t="s">
        <v>371</v>
      </c>
      <c r="D57" s="2" t="s">
        <v>101</v>
      </c>
      <c r="E57" s="1">
        <v>1</v>
      </c>
      <c r="F57" s="2" t="s">
        <v>477</v>
      </c>
      <c r="G57" s="2" t="s">
        <v>478</v>
      </c>
      <c r="H57" s="2" t="s">
        <v>31</v>
      </c>
      <c r="I57" s="2" t="s">
        <v>452</v>
      </c>
      <c r="J57" s="2" t="s">
        <v>31</v>
      </c>
      <c r="K57" s="10" t="s">
        <v>31</v>
      </c>
      <c r="L57" s="2" t="s">
        <v>479</v>
      </c>
      <c r="M57" s="2" t="s">
        <v>480</v>
      </c>
      <c r="N57" s="2" t="s">
        <v>31</v>
      </c>
      <c r="O57" s="2" t="s">
        <v>31</v>
      </c>
      <c r="P57" s="2" t="s">
        <v>481</v>
      </c>
      <c r="Q57" s="2" t="s">
        <v>59</v>
      </c>
      <c r="R57" s="2" t="s">
        <v>48</v>
      </c>
      <c r="S57" s="2" t="s">
        <v>31</v>
      </c>
      <c r="T57" s="2" t="s">
        <v>60</v>
      </c>
      <c r="U57" s="2">
        <v>1632</v>
      </c>
      <c r="V57" s="10">
        <v>1900</v>
      </c>
      <c r="W57" s="10">
        <v>2880</v>
      </c>
      <c r="X57" s="11">
        <v>0</v>
      </c>
      <c r="Y57" s="11">
        <v>1</v>
      </c>
      <c r="Z57" s="2" t="s">
        <v>455</v>
      </c>
      <c r="AA57" s="2" t="s">
        <v>482</v>
      </c>
      <c r="AB57" s="3">
        <v>41229</v>
      </c>
      <c r="AC57" s="2">
        <v>1160000</v>
      </c>
      <c r="AD57" s="2" t="s">
        <v>39</v>
      </c>
      <c r="AE57" s="2">
        <v>0</v>
      </c>
      <c r="AF57" s="4">
        <v>2309600</v>
      </c>
      <c r="AG57" s="8">
        <v>23650.3</v>
      </c>
      <c r="AH57" s="8">
        <f t="shared" si="0"/>
        <v>25426.437529999999</v>
      </c>
      <c r="AI57" s="8">
        <f t="shared" si="1"/>
        <v>1776.13753</v>
      </c>
      <c r="AJ57" s="8">
        <f t="shared" si="2"/>
        <v>24929.781230000001</v>
      </c>
      <c r="AK57" s="8">
        <f t="shared" si="3"/>
        <v>1279.4812300000012</v>
      </c>
    </row>
    <row r="58" spans="1:37" x14ac:dyDescent="0.3">
      <c r="A58" s="1">
        <v>61</v>
      </c>
      <c r="B58" s="2" t="s">
        <v>483</v>
      </c>
      <c r="C58" s="2" t="s">
        <v>371</v>
      </c>
      <c r="D58" s="2" t="s">
        <v>101</v>
      </c>
      <c r="E58" s="1">
        <v>1</v>
      </c>
      <c r="F58" s="2" t="s">
        <v>484</v>
      </c>
      <c r="G58" s="2" t="s">
        <v>485</v>
      </c>
      <c r="H58" s="2" t="s">
        <v>31</v>
      </c>
      <c r="I58" s="2" t="s">
        <v>452</v>
      </c>
      <c r="J58" s="2" t="s">
        <v>31</v>
      </c>
      <c r="K58" s="10" t="s">
        <v>31</v>
      </c>
      <c r="L58" s="2" t="s">
        <v>486</v>
      </c>
      <c r="M58" s="2" t="s">
        <v>487</v>
      </c>
      <c r="N58" s="2" t="s">
        <v>31</v>
      </c>
      <c r="O58" s="2" t="s">
        <v>31</v>
      </c>
      <c r="P58" s="2" t="s">
        <v>488</v>
      </c>
      <c r="Q58" s="2" t="s">
        <v>59</v>
      </c>
      <c r="R58" s="2" t="s">
        <v>48</v>
      </c>
      <c r="S58" s="2" t="s">
        <v>31</v>
      </c>
      <c r="T58" s="2" t="s">
        <v>60</v>
      </c>
      <c r="U58" s="2">
        <v>1715</v>
      </c>
      <c r="V58" s="10">
        <v>1900</v>
      </c>
      <c r="W58" s="10">
        <v>2680</v>
      </c>
      <c r="X58" s="11">
        <v>0</v>
      </c>
      <c r="Y58" s="11">
        <v>1</v>
      </c>
      <c r="Z58" s="2" t="s">
        <v>455</v>
      </c>
      <c r="AA58" s="2" t="s">
        <v>489</v>
      </c>
      <c r="AB58" s="3">
        <v>45160</v>
      </c>
      <c r="AC58" s="2">
        <v>100</v>
      </c>
      <c r="AD58" s="2" t="s">
        <v>39</v>
      </c>
      <c r="AE58" s="2">
        <v>0</v>
      </c>
      <c r="AF58" s="4">
        <v>1869000</v>
      </c>
      <c r="AG58" s="8">
        <v>19138.560000000001</v>
      </c>
      <c r="AH58" s="8">
        <f t="shared" si="0"/>
        <v>20575.865856</v>
      </c>
      <c r="AI58" s="8">
        <f t="shared" si="1"/>
        <v>1437.305855999999</v>
      </c>
      <c r="AJ58" s="8">
        <f t="shared" si="2"/>
        <v>20173.956096000002</v>
      </c>
      <c r="AK58" s="8">
        <f t="shared" si="3"/>
        <v>1035.3960960000004</v>
      </c>
    </row>
    <row r="59" spans="1:37" x14ac:dyDescent="0.3">
      <c r="A59" s="1">
        <v>62</v>
      </c>
      <c r="B59" s="2" t="s">
        <v>490</v>
      </c>
      <c r="C59" s="2" t="s">
        <v>417</v>
      </c>
      <c r="D59" s="2" t="s">
        <v>101</v>
      </c>
      <c r="E59" s="1" t="s">
        <v>31</v>
      </c>
      <c r="F59" s="2" t="s">
        <v>491</v>
      </c>
      <c r="G59" s="2" t="s">
        <v>485</v>
      </c>
      <c r="H59" s="2" t="s">
        <v>66</v>
      </c>
      <c r="I59" s="2" t="s">
        <v>492</v>
      </c>
      <c r="J59" s="2" t="s">
        <v>31</v>
      </c>
      <c r="K59" s="10" t="s">
        <v>31</v>
      </c>
      <c r="L59" s="2" t="s">
        <v>486</v>
      </c>
      <c r="M59" s="2" t="s">
        <v>487</v>
      </c>
      <c r="N59" s="2" t="s">
        <v>31</v>
      </c>
      <c r="O59" s="2" t="s">
        <v>31</v>
      </c>
      <c r="P59" s="2" t="s">
        <v>488</v>
      </c>
      <c r="Q59" s="2" t="s">
        <v>59</v>
      </c>
      <c r="R59" s="2" t="s">
        <v>48</v>
      </c>
      <c r="S59" s="2" t="s">
        <v>31</v>
      </c>
      <c r="T59" s="2" t="s">
        <v>60</v>
      </c>
      <c r="U59" s="2">
        <v>750</v>
      </c>
      <c r="V59" s="10" t="s">
        <v>31</v>
      </c>
      <c r="W59" s="10">
        <v>0</v>
      </c>
      <c r="X59" s="11" t="s">
        <v>31</v>
      </c>
      <c r="Y59" s="11" t="s">
        <v>31</v>
      </c>
      <c r="Z59" s="2" t="s">
        <v>380</v>
      </c>
      <c r="AA59" s="2" t="s">
        <v>489</v>
      </c>
      <c r="AB59" s="3">
        <v>45160</v>
      </c>
      <c r="AC59" s="2">
        <v>100</v>
      </c>
      <c r="AD59" s="2" t="s">
        <v>39</v>
      </c>
      <c r="AE59" s="2" t="s">
        <v>31</v>
      </c>
      <c r="AF59" s="4">
        <v>50000</v>
      </c>
      <c r="AG59" s="8">
        <v>512</v>
      </c>
      <c r="AH59" s="8">
        <f t="shared" si="0"/>
        <v>550.45119999999997</v>
      </c>
      <c r="AI59" s="8">
        <f t="shared" si="1"/>
        <v>38.451199999999972</v>
      </c>
      <c r="AJ59" s="8">
        <f t="shared" si="2"/>
        <v>539.69920000000002</v>
      </c>
      <c r="AK59" s="8">
        <f t="shared" si="3"/>
        <v>27.699200000000019</v>
      </c>
    </row>
    <row r="60" spans="1:37" x14ac:dyDescent="0.3">
      <c r="A60" s="1">
        <v>63</v>
      </c>
      <c r="B60" s="2" t="s">
        <v>493</v>
      </c>
      <c r="C60" s="2" t="s">
        <v>417</v>
      </c>
      <c r="D60" s="2" t="s">
        <v>101</v>
      </c>
      <c r="E60" s="1" t="s">
        <v>31</v>
      </c>
      <c r="F60" s="2" t="s">
        <v>494</v>
      </c>
      <c r="G60" s="2" t="s">
        <v>31</v>
      </c>
      <c r="H60" s="2" t="s">
        <v>31</v>
      </c>
      <c r="I60" s="2" t="s">
        <v>409</v>
      </c>
      <c r="J60" s="2" t="s">
        <v>31</v>
      </c>
      <c r="K60" s="10" t="s">
        <v>31</v>
      </c>
      <c r="L60" s="2" t="s">
        <v>410</v>
      </c>
      <c r="M60" s="2" t="s">
        <v>411</v>
      </c>
      <c r="N60" s="2" t="s">
        <v>31</v>
      </c>
      <c r="O60" s="2" t="s">
        <v>31</v>
      </c>
      <c r="P60" s="2" t="s">
        <v>414</v>
      </c>
      <c r="Q60" s="2" t="s">
        <v>59</v>
      </c>
      <c r="R60" s="2" t="s">
        <v>48</v>
      </c>
      <c r="S60" s="2" t="s">
        <v>31</v>
      </c>
      <c r="T60" s="2" t="s">
        <v>60</v>
      </c>
      <c r="U60" s="2">
        <v>750</v>
      </c>
      <c r="V60" s="10" t="s">
        <v>31</v>
      </c>
      <c r="W60" s="10">
        <v>0</v>
      </c>
      <c r="X60" s="11" t="s">
        <v>31</v>
      </c>
      <c r="Y60" s="11" t="s">
        <v>31</v>
      </c>
      <c r="Z60" s="2" t="s">
        <v>380</v>
      </c>
      <c r="AA60" s="2" t="s">
        <v>415</v>
      </c>
      <c r="AB60" s="3">
        <v>44424</v>
      </c>
      <c r="AC60" s="2">
        <v>6775000</v>
      </c>
      <c r="AD60" s="2" t="s">
        <v>39</v>
      </c>
      <c r="AE60" s="2" t="s">
        <v>31</v>
      </c>
      <c r="AF60" s="4">
        <v>77100</v>
      </c>
      <c r="AG60" s="8">
        <v>789.5</v>
      </c>
      <c r="AH60" s="8">
        <f t="shared" si="0"/>
        <v>848.79144999999994</v>
      </c>
      <c r="AI60" s="8">
        <f t="shared" si="1"/>
        <v>59.291449999999941</v>
      </c>
      <c r="AJ60" s="8">
        <f t="shared" si="2"/>
        <v>832.21195</v>
      </c>
      <c r="AK60" s="8">
        <f t="shared" si="3"/>
        <v>42.711950000000002</v>
      </c>
    </row>
    <row r="61" spans="1:37" x14ac:dyDescent="0.3">
      <c r="A61" s="1">
        <v>65</v>
      </c>
      <c r="B61" s="2" t="s">
        <v>495</v>
      </c>
      <c r="C61" s="2" t="s">
        <v>100</v>
      </c>
      <c r="D61" s="2" t="s">
        <v>101</v>
      </c>
      <c r="E61" s="1">
        <v>1</v>
      </c>
      <c r="F61" s="2" t="s">
        <v>496</v>
      </c>
      <c r="G61" s="2" t="s">
        <v>497</v>
      </c>
      <c r="H61" s="2" t="s">
        <v>31</v>
      </c>
      <c r="I61" s="2" t="s">
        <v>409</v>
      </c>
      <c r="J61" s="2" t="s">
        <v>498</v>
      </c>
      <c r="K61" s="10" t="s">
        <v>2825</v>
      </c>
      <c r="L61" s="2" t="s">
        <v>499</v>
      </c>
      <c r="M61" s="2" t="s">
        <v>500</v>
      </c>
      <c r="N61" s="2" t="s">
        <v>501</v>
      </c>
      <c r="O61" s="2" t="s">
        <v>502</v>
      </c>
      <c r="P61" s="2" t="s">
        <v>503</v>
      </c>
      <c r="Q61" s="2" t="s">
        <v>59</v>
      </c>
      <c r="R61" s="2" t="s">
        <v>48</v>
      </c>
      <c r="S61" s="2" t="s">
        <v>31</v>
      </c>
      <c r="T61" s="2" t="s">
        <v>60</v>
      </c>
      <c r="U61" s="2">
        <v>0</v>
      </c>
      <c r="V61" s="10">
        <v>1910</v>
      </c>
      <c r="W61" s="10">
        <v>1214</v>
      </c>
      <c r="X61" s="11">
        <v>0</v>
      </c>
      <c r="Y61" s="11">
        <v>1</v>
      </c>
      <c r="Z61" s="2" t="s">
        <v>31</v>
      </c>
      <c r="AA61" s="2" t="s">
        <v>504</v>
      </c>
      <c r="AB61" s="3">
        <v>44923</v>
      </c>
      <c r="AC61" s="2">
        <v>825000</v>
      </c>
      <c r="AD61" s="2" t="s">
        <v>39</v>
      </c>
      <c r="AE61" s="2">
        <v>6</v>
      </c>
      <c r="AF61" s="4">
        <v>832200</v>
      </c>
      <c r="AG61" s="8">
        <v>8521.73</v>
      </c>
      <c r="AH61" s="8">
        <f t="shared" si="0"/>
        <v>9161.7119229999989</v>
      </c>
      <c r="AI61" s="8">
        <f t="shared" si="1"/>
        <v>639.98192299999937</v>
      </c>
      <c r="AJ61" s="8">
        <f t="shared" si="2"/>
        <v>8982.7555929999999</v>
      </c>
      <c r="AK61" s="8">
        <f t="shared" si="3"/>
        <v>461.0255930000003</v>
      </c>
    </row>
    <row r="62" spans="1:37" x14ac:dyDescent="0.3">
      <c r="A62" s="1">
        <v>66</v>
      </c>
      <c r="B62" s="2" t="s">
        <v>505</v>
      </c>
      <c r="C62" s="2" t="s">
        <v>100</v>
      </c>
      <c r="D62" s="2" t="s">
        <v>101</v>
      </c>
      <c r="E62" s="1">
        <v>1</v>
      </c>
      <c r="F62" s="2" t="s">
        <v>506</v>
      </c>
      <c r="G62" s="2" t="s">
        <v>497</v>
      </c>
      <c r="H62" s="2" t="s">
        <v>31</v>
      </c>
      <c r="I62" s="2" t="s">
        <v>409</v>
      </c>
      <c r="J62" s="2" t="s">
        <v>507</v>
      </c>
      <c r="K62" s="10" t="s">
        <v>2825</v>
      </c>
      <c r="L62" s="2" t="s">
        <v>508</v>
      </c>
      <c r="M62" s="2" t="s">
        <v>509</v>
      </c>
      <c r="N62" s="2" t="s">
        <v>31</v>
      </c>
      <c r="O62" s="2" t="s">
        <v>31</v>
      </c>
      <c r="P62" s="2" t="s">
        <v>510</v>
      </c>
      <c r="Q62" s="2" t="s">
        <v>59</v>
      </c>
      <c r="R62" s="2" t="s">
        <v>48</v>
      </c>
      <c r="S62" s="2" t="s">
        <v>31</v>
      </c>
      <c r="T62" s="2" t="s">
        <v>60</v>
      </c>
      <c r="U62" s="2">
        <v>0</v>
      </c>
      <c r="V62" s="10">
        <v>1910</v>
      </c>
      <c r="W62" s="10">
        <v>1129</v>
      </c>
      <c r="X62" s="11">
        <v>0</v>
      </c>
      <c r="Y62" s="11">
        <v>1</v>
      </c>
      <c r="Z62" s="2" t="s">
        <v>31</v>
      </c>
      <c r="AA62" s="2" t="s">
        <v>511</v>
      </c>
      <c r="AB62" s="3">
        <v>45373</v>
      </c>
      <c r="AC62" s="2">
        <v>950000</v>
      </c>
      <c r="AD62" s="2" t="s">
        <v>107</v>
      </c>
      <c r="AE62" s="2">
        <v>5.67</v>
      </c>
      <c r="AF62" s="4">
        <v>789000</v>
      </c>
      <c r="AG62" s="8">
        <v>4444.43</v>
      </c>
      <c r="AH62" s="8">
        <f t="shared" si="0"/>
        <v>4778.2066930000001</v>
      </c>
      <c r="AI62" s="8">
        <f t="shared" si="1"/>
        <v>333.7766929999998</v>
      </c>
      <c r="AJ62" s="8">
        <f t="shared" si="2"/>
        <v>4684.8736630000003</v>
      </c>
      <c r="AK62" s="8">
        <f t="shared" si="3"/>
        <v>240.44366300000002</v>
      </c>
    </row>
    <row r="63" spans="1:37" x14ac:dyDescent="0.3">
      <c r="A63" s="1">
        <v>67</v>
      </c>
      <c r="B63" s="2" t="s">
        <v>512</v>
      </c>
      <c r="C63" s="2" t="s">
        <v>100</v>
      </c>
      <c r="D63" s="2" t="s">
        <v>101</v>
      </c>
      <c r="E63" s="1">
        <v>1</v>
      </c>
      <c r="F63" s="2" t="s">
        <v>513</v>
      </c>
      <c r="G63" s="2" t="s">
        <v>497</v>
      </c>
      <c r="H63" s="2" t="s">
        <v>31</v>
      </c>
      <c r="I63" s="2" t="s">
        <v>409</v>
      </c>
      <c r="J63" s="2" t="s">
        <v>514</v>
      </c>
      <c r="K63" s="10" t="s">
        <v>2825</v>
      </c>
      <c r="L63" s="2" t="s">
        <v>515</v>
      </c>
      <c r="M63" s="2" t="s">
        <v>516</v>
      </c>
      <c r="N63" s="2" t="s">
        <v>517</v>
      </c>
      <c r="O63" s="2" t="s">
        <v>518</v>
      </c>
      <c r="P63" s="2" t="s">
        <v>519</v>
      </c>
      <c r="Q63" s="2" t="s">
        <v>59</v>
      </c>
      <c r="R63" s="2" t="s">
        <v>48</v>
      </c>
      <c r="S63" s="2" t="s">
        <v>31</v>
      </c>
      <c r="T63" s="2" t="s">
        <v>60</v>
      </c>
      <c r="U63" s="2">
        <v>0</v>
      </c>
      <c r="V63" s="10">
        <v>1910</v>
      </c>
      <c r="W63" s="10">
        <v>1390</v>
      </c>
      <c r="X63" s="11">
        <v>0</v>
      </c>
      <c r="Y63" s="11">
        <v>1</v>
      </c>
      <c r="Z63" s="2" t="s">
        <v>31</v>
      </c>
      <c r="AA63" s="2" t="s">
        <v>520</v>
      </c>
      <c r="AB63" s="3">
        <v>36307</v>
      </c>
      <c r="AC63" s="2">
        <v>225000</v>
      </c>
      <c r="AD63" s="2" t="s">
        <v>107</v>
      </c>
      <c r="AE63" s="2">
        <v>6.66</v>
      </c>
      <c r="AF63" s="4">
        <v>862000</v>
      </c>
      <c r="AG63" s="8">
        <v>5191.95</v>
      </c>
      <c r="AH63" s="8">
        <f t="shared" si="0"/>
        <v>5581.8654449999995</v>
      </c>
      <c r="AI63" s="8">
        <f t="shared" si="1"/>
        <v>389.91544499999964</v>
      </c>
      <c r="AJ63" s="8">
        <f t="shared" si="2"/>
        <v>5472.8344950000001</v>
      </c>
      <c r="AK63" s="8">
        <f t="shared" si="3"/>
        <v>280.88449500000024</v>
      </c>
    </row>
    <row r="64" spans="1:37" x14ac:dyDescent="0.3">
      <c r="A64" s="1">
        <v>68</v>
      </c>
      <c r="B64" s="2" t="s">
        <v>521</v>
      </c>
      <c r="C64" s="2" t="s">
        <v>100</v>
      </c>
      <c r="D64" s="2" t="s">
        <v>101</v>
      </c>
      <c r="E64" s="1">
        <v>1</v>
      </c>
      <c r="F64" s="2" t="s">
        <v>522</v>
      </c>
      <c r="G64" s="2" t="s">
        <v>497</v>
      </c>
      <c r="H64" s="2" t="s">
        <v>31</v>
      </c>
      <c r="I64" s="2" t="s">
        <v>409</v>
      </c>
      <c r="J64" s="2" t="s">
        <v>523</v>
      </c>
      <c r="K64" s="10" t="s">
        <v>2825</v>
      </c>
      <c r="L64" s="2" t="s">
        <v>524</v>
      </c>
      <c r="M64" s="2" t="s">
        <v>525</v>
      </c>
      <c r="N64" s="2" t="s">
        <v>31</v>
      </c>
      <c r="O64" s="2" t="s">
        <v>31</v>
      </c>
      <c r="P64" s="2" t="s">
        <v>526</v>
      </c>
      <c r="Q64" s="2" t="s">
        <v>527</v>
      </c>
      <c r="R64" s="2" t="s">
        <v>48</v>
      </c>
      <c r="S64" s="2" t="s">
        <v>31</v>
      </c>
      <c r="T64" s="2" t="s">
        <v>528</v>
      </c>
      <c r="U64" s="2">
        <v>0</v>
      </c>
      <c r="V64" s="10">
        <v>1910</v>
      </c>
      <c r="W64" s="10">
        <v>1050</v>
      </c>
      <c r="X64" s="11">
        <v>0</v>
      </c>
      <c r="Y64" s="11">
        <v>1</v>
      </c>
      <c r="Z64" s="2" t="s">
        <v>31</v>
      </c>
      <c r="AA64" s="2" t="s">
        <v>529</v>
      </c>
      <c r="AB64" s="3">
        <v>42500</v>
      </c>
      <c r="AC64" s="2">
        <v>1</v>
      </c>
      <c r="AD64" s="2" t="s">
        <v>39</v>
      </c>
      <c r="AE64" s="2">
        <v>5.27</v>
      </c>
      <c r="AF64" s="4">
        <v>701400</v>
      </c>
      <c r="AG64" s="8">
        <v>7182.34</v>
      </c>
      <c r="AH64" s="8">
        <f t="shared" si="0"/>
        <v>7721.7337339999995</v>
      </c>
      <c r="AI64" s="8">
        <f t="shared" si="1"/>
        <v>539.39373399999931</v>
      </c>
      <c r="AJ64" s="8">
        <f t="shared" si="2"/>
        <v>7570.9045940000005</v>
      </c>
      <c r="AK64" s="8">
        <f t="shared" si="3"/>
        <v>388.5645940000004</v>
      </c>
    </row>
    <row r="65" spans="1:37" x14ac:dyDescent="0.3">
      <c r="A65" s="1">
        <v>69</v>
      </c>
      <c r="B65" s="2" t="s">
        <v>530</v>
      </c>
      <c r="C65" s="2" t="s">
        <v>100</v>
      </c>
      <c r="D65" s="2" t="s">
        <v>101</v>
      </c>
      <c r="E65" s="1">
        <v>1</v>
      </c>
      <c r="F65" s="2" t="s">
        <v>531</v>
      </c>
      <c r="G65" s="2" t="s">
        <v>497</v>
      </c>
      <c r="H65" s="2" t="s">
        <v>31</v>
      </c>
      <c r="I65" s="2" t="s">
        <v>409</v>
      </c>
      <c r="J65" s="2" t="s">
        <v>532</v>
      </c>
      <c r="K65" s="10" t="s">
        <v>2825</v>
      </c>
      <c r="L65" s="2" t="s">
        <v>533</v>
      </c>
      <c r="M65" s="2" t="s">
        <v>534</v>
      </c>
      <c r="N65" s="2" t="s">
        <v>31</v>
      </c>
      <c r="O65" s="2" t="s">
        <v>31</v>
      </c>
      <c r="P65" s="2" t="s">
        <v>535</v>
      </c>
      <c r="Q65" s="2" t="s">
        <v>59</v>
      </c>
      <c r="R65" s="2" t="s">
        <v>48</v>
      </c>
      <c r="S65" s="2" t="s">
        <v>31</v>
      </c>
      <c r="T65" s="2" t="s">
        <v>60</v>
      </c>
      <c r="U65" s="2">
        <v>0</v>
      </c>
      <c r="V65" s="10">
        <v>1910</v>
      </c>
      <c r="W65" s="10">
        <v>1290</v>
      </c>
      <c r="X65" s="11">
        <v>0</v>
      </c>
      <c r="Y65" s="11">
        <v>1</v>
      </c>
      <c r="Z65" s="2" t="s">
        <v>31</v>
      </c>
      <c r="AA65" s="2" t="s">
        <v>536</v>
      </c>
      <c r="AB65" s="3">
        <v>45427</v>
      </c>
      <c r="AC65" s="2">
        <v>100</v>
      </c>
      <c r="AD65" s="2" t="s">
        <v>107</v>
      </c>
      <c r="AE65" s="2">
        <v>6.26</v>
      </c>
      <c r="AF65" s="4">
        <v>853300</v>
      </c>
      <c r="AG65" s="8">
        <v>5102.8599999999997</v>
      </c>
      <c r="AH65" s="8">
        <f t="shared" si="0"/>
        <v>5486.0847859999994</v>
      </c>
      <c r="AI65" s="8">
        <f t="shared" si="1"/>
        <v>383.22478599999977</v>
      </c>
      <c r="AJ65" s="8">
        <f t="shared" si="2"/>
        <v>5378.9247260000002</v>
      </c>
      <c r="AK65" s="8">
        <f t="shared" si="3"/>
        <v>276.06472600000052</v>
      </c>
    </row>
    <row r="66" spans="1:37" x14ac:dyDescent="0.3">
      <c r="A66" s="1">
        <v>70</v>
      </c>
      <c r="B66" s="2" t="s">
        <v>537</v>
      </c>
      <c r="C66" s="2" t="s">
        <v>100</v>
      </c>
      <c r="D66" s="2" t="s">
        <v>101</v>
      </c>
      <c r="E66" s="1">
        <v>1</v>
      </c>
      <c r="F66" s="2" t="s">
        <v>538</v>
      </c>
      <c r="G66" s="2" t="s">
        <v>497</v>
      </c>
      <c r="H66" s="2" t="s">
        <v>31</v>
      </c>
      <c r="I66" s="2" t="s">
        <v>409</v>
      </c>
      <c r="J66" s="2" t="s">
        <v>539</v>
      </c>
      <c r="K66" s="10" t="s">
        <v>2825</v>
      </c>
      <c r="L66" s="2" t="s">
        <v>540</v>
      </c>
      <c r="M66" s="2" t="s">
        <v>541</v>
      </c>
      <c r="N66" s="2" t="s">
        <v>31</v>
      </c>
      <c r="O66" s="2" t="s">
        <v>31</v>
      </c>
      <c r="P66" s="2" t="s">
        <v>542</v>
      </c>
      <c r="Q66" s="2" t="s">
        <v>59</v>
      </c>
      <c r="R66" s="2" t="s">
        <v>48</v>
      </c>
      <c r="S66" s="2" t="s">
        <v>31</v>
      </c>
      <c r="T66" s="2" t="s">
        <v>60</v>
      </c>
      <c r="U66" s="2">
        <v>0</v>
      </c>
      <c r="V66" s="10">
        <v>1910</v>
      </c>
      <c r="W66" s="10">
        <v>1215</v>
      </c>
      <c r="X66" s="11">
        <v>0</v>
      </c>
      <c r="Y66" s="11">
        <v>1</v>
      </c>
      <c r="Z66" s="2" t="s">
        <v>31</v>
      </c>
      <c r="AA66" s="2" t="s">
        <v>543</v>
      </c>
      <c r="AB66" s="3">
        <v>38196</v>
      </c>
      <c r="AC66" s="2">
        <v>400000</v>
      </c>
      <c r="AD66" s="2" t="s">
        <v>107</v>
      </c>
      <c r="AE66" s="2">
        <v>5.93</v>
      </c>
      <c r="AF66" s="4">
        <v>782900</v>
      </c>
      <c r="AG66" s="8">
        <v>4381.96</v>
      </c>
      <c r="AH66" s="8">
        <f t="shared" si="0"/>
        <v>4711.045196</v>
      </c>
      <c r="AI66" s="8">
        <f t="shared" si="1"/>
        <v>329.085196</v>
      </c>
      <c r="AJ66" s="8">
        <f t="shared" si="2"/>
        <v>4619.0240359999998</v>
      </c>
      <c r="AK66" s="8">
        <f t="shared" si="3"/>
        <v>237.06403599999976</v>
      </c>
    </row>
    <row r="67" spans="1:37" x14ac:dyDescent="0.3">
      <c r="A67" s="1">
        <v>71</v>
      </c>
      <c r="B67" s="2" t="s">
        <v>544</v>
      </c>
      <c r="C67" s="2" t="s">
        <v>100</v>
      </c>
      <c r="D67" s="2" t="s">
        <v>101</v>
      </c>
      <c r="E67" s="1">
        <v>1</v>
      </c>
      <c r="F67" s="2" t="s">
        <v>545</v>
      </c>
      <c r="G67" s="2" t="s">
        <v>497</v>
      </c>
      <c r="H67" s="2" t="s">
        <v>31</v>
      </c>
      <c r="I67" s="2" t="s">
        <v>409</v>
      </c>
      <c r="J67" s="2" t="s">
        <v>465</v>
      </c>
      <c r="K67" s="10" t="s">
        <v>2825</v>
      </c>
      <c r="L67" s="2" t="s">
        <v>546</v>
      </c>
      <c r="M67" s="2" t="s">
        <v>547</v>
      </c>
      <c r="N67" s="2" t="s">
        <v>548</v>
      </c>
      <c r="O67" s="2" t="s">
        <v>549</v>
      </c>
      <c r="P67" s="2" t="s">
        <v>550</v>
      </c>
      <c r="Q67" s="2" t="s">
        <v>59</v>
      </c>
      <c r="R67" s="2" t="s">
        <v>48</v>
      </c>
      <c r="S67" s="2" t="s">
        <v>31</v>
      </c>
      <c r="T67" s="2" t="s">
        <v>60</v>
      </c>
      <c r="U67" s="2">
        <v>0</v>
      </c>
      <c r="V67" s="10">
        <v>1910</v>
      </c>
      <c r="W67" s="10">
        <v>1390</v>
      </c>
      <c r="X67" s="11">
        <v>0</v>
      </c>
      <c r="Y67" s="11">
        <v>1</v>
      </c>
      <c r="Z67" s="2" t="s">
        <v>31</v>
      </c>
      <c r="AA67" s="2" t="s">
        <v>551</v>
      </c>
      <c r="AB67" s="3">
        <v>43420</v>
      </c>
      <c r="AC67" s="2">
        <v>890000</v>
      </c>
      <c r="AD67" s="2" t="s">
        <v>107</v>
      </c>
      <c r="AE67" s="2">
        <v>6.72</v>
      </c>
      <c r="AF67" s="4">
        <v>870200</v>
      </c>
      <c r="AG67" s="8">
        <v>5275.91</v>
      </c>
      <c r="AH67" s="8">
        <f t="shared" ref="AH67:AH130" si="4">AG67*1.0751</f>
        <v>5672.1308409999992</v>
      </c>
      <c r="AI67" s="8">
        <f t="shared" ref="AI67:AI130" si="5">AH67-AG67</f>
        <v>396.22084099999938</v>
      </c>
      <c r="AJ67" s="8">
        <f t="shared" ref="AJ67:AJ130" si="6">AG67*1.0541</f>
        <v>5561.3367310000003</v>
      </c>
      <c r="AK67" s="8">
        <f t="shared" ref="AK67:AK130" si="7">AJ67-AG67</f>
        <v>285.42673100000047</v>
      </c>
    </row>
    <row r="68" spans="1:37" x14ac:dyDescent="0.3">
      <c r="A68" s="1">
        <v>72</v>
      </c>
      <c r="B68" s="2" t="s">
        <v>552</v>
      </c>
      <c r="C68" s="2" t="s">
        <v>100</v>
      </c>
      <c r="D68" s="2" t="s">
        <v>101</v>
      </c>
      <c r="E68" s="1">
        <v>1</v>
      </c>
      <c r="F68" s="2" t="s">
        <v>553</v>
      </c>
      <c r="G68" s="2" t="s">
        <v>497</v>
      </c>
      <c r="H68" s="2" t="s">
        <v>31</v>
      </c>
      <c r="I68" s="2" t="s">
        <v>409</v>
      </c>
      <c r="J68" s="2" t="s">
        <v>554</v>
      </c>
      <c r="K68" s="10" t="s">
        <v>2825</v>
      </c>
      <c r="L68" s="2" t="s">
        <v>555</v>
      </c>
      <c r="M68" s="2" t="s">
        <v>31</v>
      </c>
      <c r="N68" s="2" t="s">
        <v>443</v>
      </c>
      <c r="O68" s="2" t="s">
        <v>31</v>
      </c>
      <c r="P68" s="2" t="s">
        <v>556</v>
      </c>
      <c r="Q68" s="2" t="s">
        <v>86</v>
      </c>
      <c r="R68" s="2" t="s">
        <v>48</v>
      </c>
      <c r="S68" s="2" t="s">
        <v>31</v>
      </c>
      <c r="T68" s="2" t="s">
        <v>445</v>
      </c>
      <c r="U68" s="2">
        <v>0</v>
      </c>
      <c r="V68" s="10">
        <v>1910</v>
      </c>
      <c r="W68" s="10">
        <v>1050</v>
      </c>
      <c r="X68" s="11">
        <v>0</v>
      </c>
      <c r="Y68" s="11">
        <v>1</v>
      </c>
      <c r="Z68" s="2" t="s">
        <v>31</v>
      </c>
      <c r="AA68" s="2" t="s">
        <v>557</v>
      </c>
      <c r="AB68" s="3">
        <v>38257</v>
      </c>
      <c r="AC68" s="2">
        <v>390000</v>
      </c>
      <c r="AD68" s="2" t="s">
        <v>39</v>
      </c>
      <c r="AE68" s="2">
        <v>5.34</v>
      </c>
      <c r="AF68" s="4">
        <v>712000</v>
      </c>
      <c r="AG68" s="8">
        <v>7290.88</v>
      </c>
      <c r="AH68" s="8">
        <f t="shared" si="4"/>
        <v>7838.425088</v>
      </c>
      <c r="AI68" s="8">
        <f t="shared" si="5"/>
        <v>547.54508799999985</v>
      </c>
      <c r="AJ68" s="8">
        <f t="shared" si="6"/>
        <v>7685.3166080000001</v>
      </c>
      <c r="AK68" s="8">
        <f t="shared" si="7"/>
        <v>394.43660799999998</v>
      </c>
    </row>
    <row r="69" spans="1:37" x14ac:dyDescent="0.3">
      <c r="A69" s="1">
        <v>73</v>
      </c>
      <c r="B69" s="2" t="s">
        <v>558</v>
      </c>
      <c r="C69" s="2" t="s">
        <v>100</v>
      </c>
      <c r="D69" s="2" t="s">
        <v>101</v>
      </c>
      <c r="E69" s="1">
        <v>1</v>
      </c>
      <c r="F69" s="2" t="s">
        <v>559</v>
      </c>
      <c r="G69" s="2" t="s">
        <v>497</v>
      </c>
      <c r="H69" s="2" t="s">
        <v>31</v>
      </c>
      <c r="I69" s="2" t="s">
        <v>409</v>
      </c>
      <c r="J69" s="2" t="s">
        <v>560</v>
      </c>
      <c r="K69" s="10" t="s">
        <v>2825</v>
      </c>
      <c r="L69" s="2" t="s">
        <v>561</v>
      </c>
      <c r="M69" s="2" t="s">
        <v>562</v>
      </c>
      <c r="N69" s="2" t="s">
        <v>31</v>
      </c>
      <c r="O69" s="2" t="s">
        <v>31</v>
      </c>
      <c r="P69" s="2" t="s">
        <v>563</v>
      </c>
      <c r="Q69" s="2" t="s">
        <v>59</v>
      </c>
      <c r="R69" s="2" t="s">
        <v>48</v>
      </c>
      <c r="S69" s="2" t="s">
        <v>31</v>
      </c>
      <c r="T69" s="2" t="s">
        <v>60</v>
      </c>
      <c r="U69" s="2">
        <v>0</v>
      </c>
      <c r="V69" s="10">
        <v>1910</v>
      </c>
      <c r="W69" s="10">
        <v>1290</v>
      </c>
      <c r="X69" s="11">
        <v>0</v>
      </c>
      <c r="Y69" s="11">
        <v>1</v>
      </c>
      <c r="Z69" s="2" t="s">
        <v>31</v>
      </c>
      <c r="AA69" s="2" t="s">
        <v>564</v>
      </c>
      <c r="AB69" s="3">
        <v>43811</v>
      </c>
      <c r="AC69" s="2">
        <v>1</v>
      </c>
      <c r="AD69" s="2" t="s">
        <v>39</v>
      </c>
      <c r="AE69" s="2">
        <v>6.2</v>
      </c>
      <c r="AF69" s="4">
        <v>835800</v>
      </c>
      <c r="AG69" s="8">
        <v>8558.59</v>
      </c>
      <c r="AH69" s="8">
        <f t="shared" si="4"/>
        <v>9201.3401089999988</v>
      </c>
      <c r="AI69" s="8">
        <f t="shared" si="5"/>
        <v>642.7501089999987</v>
      </c>
      <c r="AJ69" s="8">
        <f t="shared" si="6"/>
        <v>9021.609719</v>
      </c>
      <c r="AK69" s="8">
        <f t="shared" si="7"/>
        <v>463.0197189999999</v>
      </c>
    </row>
    <row r="70" spans="1:37" x14ac:dyDescent="0.3">
      <c r="A70" s="1">
        <v>74</v>
      </c>
      <c r="B70" s="2" t="s">
        <v>565</v>
      </c>
      <c r="C70" s="2" t="s">
        <v>100</v>
      </c>
      <c r="D70" s="2" t="s">
        <v>101</v>
      </c>
      <c r="E70" s="1">
        <v>1</v>
      </c>
      <c r="F70" s="2" t="s">
        <v>566</v>
      </c>
      <c r="G70" s="2" t="s">
        <v>497</v>
      </c>
      <c r="H70" s="2" t="s">
        <v>31</v>
      </c>
      <c r="I70" s="2" t="s">
        <v>409</v>
      </c>
      <c r="J70" s="2" t="s">
        <v>567</v>
      </c>
      <c r="K70" s="10" t="s">
        <v>2825</v>
      </c>
      <c r="L70" s="2" t="s">
        <v>442</v>
      </c>
      <c r="M70" s="2" t="s">
        <v>31</v>
      </c>
      <c r="N70" s="2" t="s">
        <v>443</v>
      </c>
      <c r="O70" s="2" t="s">
        <v>31</v>
      </c>
      <c r="P70" s="2" t="s">
        <v>556</v>
      </c>
      <c r="Q70" s="2" t="s">
        <v>86</v>
      </c>
      <c r="R70" s="2" t="s">
        <v>48</v>
      </c>
      <c r="S70" s="2" t="s">
        <v>31</v>
      </c>
      <c r="T70" s="2" t="s">
        <v>445</v>
      </c>
      <c r="U70" s="2">
        <v>0</v>
      </c>
      <c r="V70" s="10">
        <v>1910</v>
      </c>
      <c r="W70" s="10">
        <v>1215</v>
      </c>
      <c r="X70" s="11">
        <v>0</v>
      </c>
      <c r="Y70" s="11">
        <v>1</v>
      </c>
      <c r="Z70" s="2" t="s">
        <v>31</v>
      </c>
      <c r="AA70" s="2" t="s">
        <v>568</v>
      </c>
      <c r="AB70" s="3">
        <v>39435</v>
      </c>
      <c r="AC70" s="2">
        <v>430000</v>
      </c>
      <c r="AD70" s="2" t="s">
        <v>39</v>
      </c>
      <c r="AE70" s="2">
        <v>5.87</v>
      </c>
      <c r="AF70" s="4">
        <v>782900</v>
      </c>
      <c r="AG70" s="8">
        <v>8016.9</v>
      </c>
      <c r="AH70" s="8">
        <f t="shared" si="4"/>
        <v>8618.9691899999998</v>
      </c>
      <c r="AI70" s="8">
        <f t="shared" si="5"/>
        <v>602.06919000000016</v>
      </c>
      <c r="AJ70" s="8">
        <f t="shared" si="6"/>
        <v>8450.6142899999995</v>
      </c>
      <c r="AK70" s="8">
        <f t="shared" si="7"/>
        <v>433.71428999999989</v>
      </c>
    </row>
    <row r="71" spans="1:37" x14ac:dyDescent="0.3">
      <c r="A71" s="1">
        <v>75</v>
      </c>
      <c r="B71" s="2" t="s">
        <v>569</v>
      </c>
      <c r="C71" s="2" t="s">
        <v>100</v>
      </c>
      <c r="D71" s="2" t="s">
        <v>101</v>
      </c>
      <c r="E71" s="1">
        <v>1</v>
      </c>
      <c r="F71" s="2" t="s">
        <v>570</v>
      </c>
      <c r="G71" s="2" t="s">
        <v>497</v>
      </c>
      <c r="H71" s="2" t="s">
        <v>31</v>
      </c>
      <c r="I71" s="2" t="s">
        <v>409</v>
      </c>
      <c r="J71" s="2" t="s">
        <v>571</v>
      </c>
      <c r="K71" s="10" t="s">
        <v>2825</v>
      </c>
      <c r="L71" s="2" t="s">
        <v>572</v>
      </c>
      <c r="M71" s="2" t="s">
        <v>573</v>
      </c>
      <c r="N71" s="2" t="s">
        <v>31</v>
      </c>
      <c r="O71" s="2" t="s">
        <v>31</v>
      </c>
      <c r="P71" s="2" t="s">
        <v>574</v>
      </c>
      <c r="Q71" s="2" t="s">
        <v>59</v>
      </c>
      <c r="R71" s="2" t="s">
        <v>48</v>
      </c>
      <c r="S71" s="2" t="s">
        <v>31</v>
      </c>
      <c r="T71" s="2" t="s">
        <v>60</v>
      </c>
      <c r="U71" s="2">
        <v>0</v>
      </c>
      <c r="V71" s="10">
        <v>1910</v>
      </c>
      <c r="W71" s="10">
        <v>1390</v>
      </c>
      <c r="X71" s="11">
        <v>0</v>
      </c>
      <c r="Y71" s="11">
        <v>1</v>
      </c>
      <c r="Z71" s="2" t="s">
        <v>31</v>
      </c>
      <c r="AA71" s="2" t="s">
        <v>575</v>
      </c>
      <c r="AB71" s="3">
        <v>45875</v>
      </c>
      <c r="AC71" s="2">
        <v>850000</v>
      </c>
      <c r="AD71" s="2" t="s">
        <v>39</v>
      </c>
      <c r="AE71" s="2">
        <v>6.59</v>
      </c>
      <c r="AF71" s="4">
        <v>862000</v>
      </c>
      <c r="AG71" s="8">
        <v>8826.8799999999992</v>
      </c>
      <c r="AH71" s="8">
        <f t="shared" si="4"/>
        <v>9489.7786879999985</v>
      </c>
      <c r="AI71" s="8">
        <f t="shared" si="5"/>
        <v>662.89868799999931</v>
      </c>
      <c r="AJ71" s="8">
        <f t="shared" si="6"/>
        <v>9304.4142080000001</v>
      </c>
      <c r="AK71" s="8">
        <f t="shared" si="7"/>
        <v>477.53420800000094</v>
      </c>
    </row>
    <row r="72" spans="1:37" x14ac:dyDescent="0.3">
      <c r="A72" s="1">
        <v>76</v>
      </c>
      <c r="B72" s="2" t="s">
        <v>576</v>
      </c>
      <c r="C72" s="2" t="s">
        <v>100</v>
      </c>
      <c r="D72" s="2" t="s">
        <v>101</v>
      </c>
      <c r="E72" s="1">
        <v>1</v>
      </c>
      <c r="F72" s="2" t="s">
        <v>577</v>
      </c>
      <c r="G72" s="2" t="s">
        <v>497</v>
      </c>
      <c r="H72" s="2" t="s">
        <v>31</v>
      </c>
      <c r="I72" s="2" t="s">
        <v>409</v>
      </c>
      <c r="J72" s="2" t="s">
        <v>578</v>
      </c>
      <c r="K72" s="10" t="s">
        <v>2825</v>
      </c>
      <c r="L72" s="2" t="s">
        <v>579</v>
      </c>
      <c r="M72" s="2" t="s">
        <v>580</v>
      </c>
      <c r="N72" s="2" t="s">
        <v>31</v>
      </c>
      <c r="O72" s="2" t="s">
        <v>31</v>
      </c>
      <c r="P72" s="2" t="s">
        <v>581</v>
      </c>
      <c r="Q72" s="2" t="s">
        <v>59</v>
      </c>
      <c r="R72" s="2" t="s">
        <v>48</v>
      </c>
      <c r="S72" s="2" t="s">
        <v>31</v>
      </c>
      <c r="T72" s="2" t="s">
        <v>60</v>
      </c>
      <c r="U72" s="2">
        <v>0</v>
      </c>
      <c r="V72" s="10">
        <v>1910</v>
      </c>
      <c r="W72" s="10">
        <v>1050</v>
      </c>
      <c r="X72" s="11">
        <v>0</v>
      </c>
      <c r="Y72" s="11">
        <v>1</v>
      </c>
      <c r="Z72" s="2" t="s">
        <v>31</v>
      </c>
      <c r="AA72" s="2" t="s">
        <v>582</v>
      </c>
      <c r="AB72" s="3">
        <v>31012</v>
      </c>
      <c r="AC72" s="2">
        <v>80000</v>
      </c>
      <c r="AD72" s="2" t="s">
        <v>107</v>
      </c>
      <c r="AE72" s="2">
        <v>5.27</v>
      </c>
      <c r="AF72" s="4">
        <v>712000</v>
      </c>
      <c r="AG72" s="8">
        <v>3655.95</v>
      </c>
      <c r="AH72" s="8">
        <f t="shared" si="4"/>
        <v>3930.5118449999995</v>
      </c>
      <c r="AI72" s="8">
        <f t="shared" si="5"/>
        <v>274.56184499999972</v>
      </c>
      <c r="AJ72" s="8">
        <f t="shared" si="6"/>
        <v>3853.736895</v>
      </c>
      <c r="AK72" s="8">
        <f t="shared" si="7"/>
        <v>197.78689500000019</v>
      </c>
    </row>
    <row r="73" spans="1:37" x14ac:dyDescent="0.3">
      <c r="A73" s="1">
        <v>77</v>
      </c>
      <c r="B73" s="2" t="s">
        <v>583</v>
      </c>
      <c r="C73" s="2" t="s">
        <v>100</v>
      </c>
      <c r="D73" s="2" t="s">
        <v>101</v>
      </c>
      <c r="E73" s="1">
        <v>1</v>
      </c>
      <c r="F73" s="2" t="s">
        <v>584</v>
      </c>
      <c r="G73" s="2" t="s">
        <v>497</v>
      </c>
      <c r="H73" s="2" t="s">
        <v>31</v>
      </c>
      <c r="I73" s="2" t="s">
        <v>409</v>
      </c>
      <c r="J73" s="2" t="s">
        <v>585</v>
      </c>
      <c r="K73" s="10" t="s">
        <v>2825</v>
      </c>
      <c r="L73" s="2" t="s">
        <v>586</v>
      </c>
      <c r="M73" s="2" t="s">
        <v>587</v>
      </c>
      <c r="N73" s="2" t="s">
        <v>31</v>
      </c>
      <c r="O73" s="2" t="s">
        <v>31</v>
      </c>
      <c r="P73" s="2" t="s">
        <v>588</v>
      </c>
      <c r="Q73" s="2" t="s">
        <v>59</v>
      </c>
      <c r="R73" s="2" t="s">
        <v>48</v>
      </c>
      <c r="S73" s="2" t="s">
        <v>31</v>
      </c>
      <c r="T73" s="2" t="s">
        <v>60</v>
      </c>
      <c r="U73" s="2">
        <v>0</v>
      </c>
      <c r="V73" s="10">
        <v>1910</v>
      </c>
      <c r="W73" s="10">
        <v>1290</v>
      </c>
      <c r="X73" s="11">
        <v>0</v>
      </c>
      <c r="Y73" s="11">
        <v>1</v>
      </c>
      <c r="Z73" s="2" t="s">
        <v>31</v>
      </c>
      <c r="AA73" s="2" t="s">
        <v>589</v>
      </c>
      <c r="AB73" s="3">
        <v>42800</v>
      </c>
      <c r="AC73" s="2">
        <v>1</v>
      </c>
      <c r="AD73" s="2" t="s">
        <v>39</v>
      </c>
      <c r="AE73" s="2">
        <v>6.13</v>
      </c>
      <c r="AF73" s="4">
        <v>858300</v>
      </c>
      <c r="AG73" s="8">
        <v>8788.99</v>
      </c>
      <c r="AH73" s="8">
        <f t="shared" si="4"/>
        <v>9449.0431489999992</v>
      </c>
      <c r="AI73" s="8">
        <f t="shared" si="5"/>
        <v>660.05314899999939</v>
      </c>
      <c r="AJ73" s="8">
        <f t="shared" si="6"/>
        <v>9264.4743589999998</v>
      </c>
      <c r="AK73" s="8">
        <f t="shared" si="7"/>
        <v>475.48435900000004</v>
      </c>
    </row>
    <row r="74" spans="1:37" x14ac:dyDescent="0.3">
      <c r="A74" s="1">
        <v>78</v>
      </c>
      <c r="B74" s="2" t="s">
        <v>590</v>
      </c>
      <c r="C74" s="2" t="s">
        <v>100</v>
      </c>
      <c r="D74" s="2" t="s">
        <v>101</v>
      </c>
      <c r="E74" s="1">
        <v>1</v>
      </c>
      <c r="F74" s="2" t="s">
        <v>591</v>
      </c>
      <c r="G74" s="2" t="s">
        <v>497</v>
      </c>
      <c r="H74" s="2" t="s">
        <v>31</v>
      </c>
      <c r="I74" s="2" t="s">
        <v>409</v>
      </c>
      <c r="J74" s="2" t="s">
        <v>592</v>
      </c>
      <c r="K74" s="10" t="s">
        <v>2825</v>
      </c>
      <c r="L74" s="2" t="s">
        <v>593</v>
      </c>
      <c r="M74" s="2" t="s">
        <v>594</v>
      </c>
      <c r="N74" s="2" t="s">
        <v>31</v>
      </c>
      <c r="O74" s="2" t="s">
        <v>31</v>
      </c>
      <c r="P74" s="2" t="s">
        <v>595</v>
      </c>
      <c r="Q74" s="2" t="s">
        <v>59</v>
      </c>
      <c r="R74" s="2" t="s">
        <v>48</v>
      </c>
      <c r="S74" s="2" t="s">
        <v>31</v>
      </c>
      <c r="T74" s="2" t="s">
        <v>60</v>
      </c>
      <c r="U74" s="2">
        <v>0</v>
      </c>
      <c r="V74" s="10">
        <v>1910</v>
      </c>
      <c r="W74" s="10">
        <v>1215</v>
      </c>
      <c r="X74" s="11">
        <v>0</v>
      </c>
      <c r="Y74" s="11">
        <v>1</v>
      </c>
      <c r="Z74" s="2" t="s">
        <v>31</v>
      </c>
      <c r="AA74" s="2" t="s">
        <v>596</v>
      </c>
      <c r="AB74" s="3">
        <v>35768</v>
      </c>
      <c r="AC74" s="2">
        <v>1</v>
      </c>
      <c r="AD74" s="2" t="s">
        <v>107</v>
      </c>
      <c r="AE74" s="2">
        <v>5.8</v>
      </c>
      <c r="AF74" s="4">
        <v>770300</v>
      </c>
      <c r="AG74" s="8">
        <v>4252.9399999999996</v>
      </c>
      <c r="AH74" s="8">
        <f t="shared" si="4"/>
        <v>4572.3357939999996</v>
      </c>
      <c r="AI74" s="8">
        <f t="shared" si="5"/>
        <v>319.39579400000002</v>
      </c>
      <c r="AJ74" s="8">
        <f t="shared" si="6"/>
        <v>4483.0240539999995</v>
      </c>
      <c r="AK74" s="8">
        <f t="shared" si="7"/>
        <v>230.08405399999992</v>
      </c>
    </row>
    <row r="75" spans="1:37" x14ac:dyDescent="0.3">
      <c r="A75" s="1">
        <v>79</v>
      </c>
      <c r="B75" s="2" t="s">
        <v>597</v>
      </c>
      <c r="C75" s="2" t="s">
        <v>100</v>
      </c>
      <c r="D75" s="2" t="s">
        <v>101</v>
      </c>
      <c r="E75" s="1">
        <v>1</v>
      </c>
      <c r="F75" s="2" t="s">
        <v>598</v>
      </c>
      <c r="G75" s="2" t="s">
        <v>497</v>
      </c>
      <c r="H75" s="2" t="s">
        <v>31</v>
      </c>
      <c r="I75" s="2" t="s">
        <v>409</v>
      </c>
      <c r="J75" s="2" t="s">
        <v>599</v>
      </c>
      <c r="K75" s="10" t="s">
        <v>2825</v>
      </c>
      <c r="L75" s="2" t="s">
        <v>508</v>
      </c>
      <c r="M75" s="2" t="s">
        <v>600</v>
      </c>
      <c r="N75" s="2" t="s">
        <v>601</v>
      </c>
      <c r="O75" s="2" t="s">
        <v>602</v>
      </c>
      <c r="P75" s="2" t="s">
        <v>603</v>
      </c>
      <c r="Q75" s="2" t="s">
        <v>59</v>
      </c>
      <c r="R75" s="2" t="s">
        <v>48</v>
      </c>
      <c r="S75" s="2" t="s">
        <v>31</v>
      </c>
      <c r="T75" s="2" t="s">
        <v>60</v>
      </c>
      <c r="U75" s="2">
        <v>0</v>
      </c>
      <c r="V75" s="10">
        <v>1910</v>
      </c>
      <c r="W75" s="10">
        <v>1390</v>
      </c>
      <c r="X75" s="11">
        <v>0</v>
      </c>
      <c r="Y75" s="11">
        <v>1</v>
      </c>
      <c r="Z75" s="2" t="s">
        <v>31</v>
      </c>
      <c r="AA75" s="2" t="s">
        <v>604</v>
      </c>
      <c r="AB75" s="3">
        <v>45405</v>
      </c>
      <c r="AC75" s="2">
        <v>1025000</v>
      </c>
      <c r="AD75" s="2" t="s">
        <v>39</v>
      </c>
      <c r="AE75" s="2">
        <v>6.53</v>
      </c>
      <c r="AF75" s="4">
        <v>901300</v>
      </c>
      <c r="AG75" s="8">
        <v>9229.31</v>
      </c>
      <c r="AH75" s="8">
        <f t="shared" si="4"/>
        <v>9922.4311809999981</v>
      </c>
      <c r="AI75" s="8">
        <f t="shared" si="5"/>
        <v>693.12118099999861</v>
      </c>
      <c r="AJ75" s="8">
        <f t="shared" si="6"/>
        <v>9728.6156709999996</v>
      </c>
      <c r="AK75" s="8">
        <f t="shared" si="7"/>
        <v>499.30567100000007</v>
      </c>
    </row>
    <row r="76" spans="1:37" x14ac:dyDescent="0.3">
      <c r="A76" s="1">
        <v>80</v>
      </c>
      <c r="B76" s="2" t="s">
        <v>605</v>
      </c>
      <c r="C76" s="2" t="s">
        <v>100</v>
      </c>
      <c r="D76" s="2" t="s">
        <v>101</v>
      </c>
      <c r="E76" s="1">
        <v>1</v>
      </c>
      <c r="F76" s="2" t="s">
        <v>606</v>
      </c>
      <c r="G76" s="2" t="s">
        <v>497</v>
      </c>
      <c r="H76" s="2" t="s">
        <v>31</v>
      </c>
      <c r="I76" s="2" t="s">
        <v>409</v>
      </c>
      <c r="J76" s="2" t="s">
        <v>607</v>
      </c>
      <c r="K76" s="10" t="s">
        <v>2825</v>
      </c>
      <c r="L76" s="2" t="s">
        <v>608</v>
      </c>
      <c r="M76" s="2" t="s">
        <v>609</v>
      </c>
      <c r="N76" s="2" t="s">
        <v>31</v>
      </c>
      <c r="O76" s="2" t="s">
        <v>31</v>
      </c>
      <c r="P76" s="2" t="s">
        <v>610</v>
      </c>
      <c r="Q76" s="2" t="s">
        <v>59</v>
      </c>
      <c r="R76" s="2" t="s">
        <v>48</v>
      </c>
      <c r="S76" s="2" t="s">
        <v>31</v>
      </c>
      <c r="T76" s="2" t="s">
        <v>60</v>
      </c>
      <c r="U76" s="2">
        <v>0</v>
      </c>
      <c r="V76" s="10">
        <v>1910</v>
      </c>
      <c r="W76" s="10">
        <v>1050</v>
      </c>
      <c r="X76" s="11">
        <v>0</v>
      </c>
      <c r="Y76" s="11">
        <v>1</v>
      </c>
      <c r="Z76" s="2" t="s">
        <v>31</v>
      </c>
      <c r="AA76" s="2" t="s">
        <v>611</v>
      </c>
      <c r="AB76" s="3">
        <v>44788</v>
      </c>
      <c r="AC76" s="2">
        <v>688000</v>
      </c>
      <c r="AD76" s="2" t="s">
        <v>39</v>
      </c>
      <c r="AE76" s="2">
        <v>5.21</v>
      </c>
      <c r="AF76" s="4">
        <v>743500</v>
      </c>
      <c r="AG76" s="8">
        <v>7613.44</v>
      </c>
      <c r="AH76" s="8">
        <f t="shared" si="4"/>
        <v>8185.209343999999</v>
      </c>
      <c r="AI76" s="8">
        <f t="shared" si="5"/>
        <v>571.76934399999936</v>
      </c>
      <c r="AJ76" s="8">
        <f t="shared" si="6"/>
        <v>8025.327104</v>
      </c>
      <c r="AK76" s="8">
        <f t="shared" si="7"/>
        <v>411.88710400000036</v>
      </c>
    </row>
    <row r="77" spans="1:37" x14ac:dyDescent="0.3">
      <c r="A77" s="1">
        <v>81</v>
      </c>
      <c r="B77" s="2" t="s">
        <v>612</v>
      </c>
      <c r="C77" s="2" t="s">
        <v>100</v>
      </c>
      <c r="D77" s="2" t="s">
        <v>101</v>
      </c>
      <c r="E77" s="1">
        <v>1</v>
      </c>
      <c r="F77" s="2" t="s">
        <v>613</v>
      </c>
      <c r="G77" s="2" t="s">
        <v>497</v>
      </c>
      <c r="H77" s="2" t="s">
        <v>31</v>
      </c>
      <c r="I77" s="2" t="s">
        <v>409</v>
      </c>
      <c r="J77" s="2" t="s">
        <v>614</v>
      </c>
      <c r="K77" s="10" t="s">
        <v>2825</v>
      </c>
      <c r="L77" s="2" t="s">
        <v>615</v>
      </c>
      <c r="M77" s="2" t="s">
        <v>616</v>
      </c>
      <c r="N77" s="2" t="s">
        <v>31</v>
      </c>
      <c r="O77" s="2" t="s">
        <v>31</v>
      </c>
      <c r="P77" s="2" t="s">
        <v>617</v>
      </c>
      <c r="Q77" s="2" t="s">
        <v>59</v>
      </c>
      <c r="R77" s="2" t="s">
        <v>48</v>
      </c>
      <c r="S77" s="2" t="s">
        <v>31</v>
      </c>
      <c r="T77" s="2" t="s">
        <v>60</v>
      </c>
      <c r="U77" s="2">
        <v>0</v>
      </c>
      <c r="V77" s="10">
        <v>1910</v>
      </c>
      <c r="W77" s="10">
        <v>1193</v>
      </c>
      <c r="X77" s="11">
        <v>0</v>
      </c>
      <c r="Y77" s="11">
        <v>1</v>
      </c>
      <c r="Z77" s="2" t="s">
        <v>31</v>
      </c>
      <c r="AA77" s="2" t="s">
        <v>618</v>
      </c>
      <c r="AB77" s="3">
        <v>44224</v>
      </c>
      <c r="AC77" s="2">
        <v>630000</v>
      </c>
      <c r="AD77" s="2" t="s">
        <v>39</v>
      </c>
      <c r="AE77" s="2">
        <v>4.55</v>
      </c>
      <c r="AF77" s="4">
        <v>590700</v>
      </c>
      <c r="AG77" s="8">
        <v>6048.77</v>
      </c>
      <c r="AH77" s="8">
        <f t="shared" si="4"/>
        <v>6503.0326270000005</v>
      </c>
      <c r="AI77" s="8">
        <f t="shared" si="5"/>
        <v>454.26262700000007</v>
      </c>
      <c r="AJ77" s="8">
        <f t="shared" si="6"/>
        <v>6376.0084570000008</v>
      </c>
      <c r="AK77" s="8">
        <f t="shared" si="7"/>
        <v>327.23845700000038</v>
      </c>
    </row>
    <row r="78" spans="1:37" x14ac:dyDescent="0.3">
      <c r="A78" s="1">
        <v>82</v>
      </c>
      <c r="B78" s="2" t="s">
        <v>619</v>
      </c>
      <c r="C78" s="2" t="s">
        <v>371</v>
      </c>
      <c r="D78" s="2" t="s">
        <v>101</v>
      </c>
      <c r="E78" s="1">
        <v>1</v>
      </c>
      <c r="F78" s="2" t="s">
        <v>620</v>
      </c>
      <c r="G78" s="2" t="s">
        <v>621</v>
      </c>
      <c r="H78" s="2" t="s">
        <v>31</v>
      </c>
      <c r="I78" s="2" t="s">
        <v>409</v>
      </c>
      <c r="J78" s="2" t="s">
        <v>31</v>
      </c>
      <c r="K78" s="10" t="s">
        <v>31</v>
      </c>
      <c r="L78" s="2" t="s">
        <v>622</v>
      </c>
      <c r="M78" s="2" t="s">
        <v>623</v>
      </c>
      <c r="N78" s="2" t="s">
        <v>31</v>
      </c>
      <c r="O78" s="2" t="s">
        <v>31</v>
      </c>
      <c r="P78" s="2" t="s">
        <v>624</v>
      </c>
      <c r="Q78" s="2" t="s">
        <v>59</v>
      </c>
      <c r="R78" s="2" t="s">
        <v>48</v>
      </c>
      <c r="S78" s="2" t="s">
        <v>31</v>
      </c>
      <c r="T78" s="2" t="s">
        <v>60</v>
      </c>
      <c r="U78" s="2">
        <v>5200</v>
      </c>
      <c r="V78" s="10">
        <v>1910</v>
      </c>
      <c r="W78" s="10">
        <v>3362.70001</v>
      </c>
      <c r="X78" s="11">
        <v>0</v>
      </c>
      <c r="Y78" s="11">
        <v>1</v>
      </c>
      <c r="Z78" s="2" t="s">
        <v>380</v>
      </c>
      <c r="AA78" s="2" t="s">
        <v>625</v>
      </c>
      <c r="AB78" s="3">
        <v>43552</v>
      </c>
      <c r="AC78" s="2">
        <v>1</v>
      </c>
      <c r="AD78" s="2" t="s">
        <v>107</v>
      </c>
      <c r="AE78" s="2">
        <v>0</v>
      </c>
      <c r="AF78" s="4">
        <v>2943400</v>
      </c>
      <c r="AG78" s="8">
        <v>26505.48</v>
      </c>
      <c r="AH78" s="8">
        <f t="shared" si="4"/>
        <v>28496.041547999997</v>
      </c>
      <c r="AI78" s="8">
        <f t="shared" si="5"/>
        <v>1990.5615479999979</v>
      </c>
      <c r="AJ78" s="8">
        <f t="shared" si="6"/>
        <v>27939.426468000001</v>
      </c>
      <c r="AK78" s="8">
        <f t="shared" si="7"/>
        <v>1433.9464680000019</v>
      </c>
    </row>
    <row r="79" spans="1:37" x14ac:dyDescent="0.3">
      <c r="A79" s="1">
        <v>83</v>
      </c>
      <c r="B79" s="2" t="s">
        <v>626</v>
      </c>
      <c r="C79" s="2" t="s">
        <v>371</v>
      </c>
      <c r="D79" s="2" t="s">
        <v>101</v>
      </c>
      <c r="E79" s="1">
        <v>1</v>
      </c>
      <c r="F79" s="2" t="s">
        <v>627</v>
      </c>
      <c r="G79" s="2" t="s">
        <v>628</v>
      </c>
      <c r="H79" s="2" t="s">
        <v>31</v>
      </c>
      <c r="I79" s="2" t="s">
        <v>409</v>
      </c>
      <c r="J79" s="2" t="s">
        <v>31</v>
      </c>
      <c r="K79" s="10" t="s">
        <v>31</v>
      </c>
      <c r="L79" s="2" t="s">
        <v>629</v>
      </c>
      <c r="M79" s="2" t="s">
        <v>630</v>
      </c>
      <c r="N79" s="2" t="s">
        <v>31</v>
      </c>
      <c r="O79" s="2" t="s">
        <v>31</v>
      </c>
      <c r="P79" s="2" t="s">
        <v>631</v>
      </c>
      <c r="Q79" s="2" t="s">
        <v>59</v>
      </c>
      <c r="R79" s="2" t="s">
        <v>48</v>
      </c>
      <c r="S79" s="2" t="s">
        <v>31</v>
      </c>
      <c r="T79" s="2" t="s">
        <v>60</v>
      </c>
      <c r="U79" s="2">
        <v>13000</v>
      </c>
      <c r="V79" s="10">
        <v>1899</v>
      </c>
      <c r="W79" s="10">
        <v>5290.0500199999997</v>
      </c>
      <c r="X79" s="11">
        <v>0</v>
      </c>
      <c r="Y79" s="11">
        <v>1</v>
      </c>
      <c r="Z79" s="2" t="s">
        <v>380</v>
      </c>
      <c r="AA79" s="2" t="s">
        <v>632</v>
      </c>
      <c r="AB79" s="3">
        <v>42152</v>
      </c>
      <c r="AC79" s="2">
        <v>100</v>
      </c>
      <c r="AD79" s="2" t="s">
        <v>39</v>
      </c>
      <c r="AE79" s="2">
        <v>0</v>
      </c>
      <c r="AF79" s="4">
        <v>4420700</v>
      </c>
      <c r="AG79" s="8">
        <v>45267.97</v>
      </c>
      <c r="AH79" s="8">
        <f t="shared" si="4"/>
        <v>48667.594547000001</v>
      </c>
      <c r="AI79" s="8">
        <f t="shared" si="5"/>
        <v>3399.6245469999994</v>
      </c>
      <c r="AJ79" s="8">
        <f t="shared" si="6"/>
        <v>47716.967177000006</v>
      </c>
      <c r="AK79" s="8">
        <f t="shared" si="7"/>
        <v>2448.9971770000047</v>
      </c>
    </row>
    <row r="80" spans="1:37" x14ac:dyDescent="0.3">
      <c r="A80" s="1">
        <v>84</v>
      </c>
      <c r="B80" s="2" t="s">
        <v>633</v>
      </c>
      <c r="C80" s="2" t="s">
        <v>371</v>
      </c>
      <c r="D80" s="2" t="s">
        <v>101</v>
      </c>
      <c r="E80" s="1">
        <v>1</v>
      </c>
      <c r="F80" s="2" t="s">
        <v>634</v>
      </c>
      <c r="G80" s="2" t="s">
        <v>371</v>
      </c>
      <c r="H80" s="2" t="s">
        <v>31</v>
      </c>
      <c r="I80" s="2" t="s">
        <v>409</v>
      </c>
      <c r="J80" s="2" t="s">
        <v>31</v>
      </c>
      <c r="K80" s="10" t="s">
        <v>31</v>
      </c>
      <c r="L80" s="2" t="s">
        <v>635</v>
      </c>
      <c r="M80" s="2" t="s">
        <v>636</v>
      </c>
      <c r="N80" s="2" t="s">
        <v>637</v>
      </c>
      <c r="O80" s="2" t="s">
        <v>638</v>
      </c>
      <c r="P80" s="2" t="s">
        <v>639</v>
      </c>
      <c r="Q80" s="2" t="s">
        <v>59</v>
      </c>
      <c r="R80" s="2" t="s">
        <v>48</v>
      </c>
      <c r="S80" s="2" t="s">
        <v>31</v>
      </c>
      <c r="T80" s="2" t="s">
        <v>60</v>
      </c>
      <c r="U80" s="2">
        <v>14300</v>
      </c>
      <c r="V80" s="10">
        <v>1893</v>
      </c>
      <c r="W80" s="10">
        <v>5526.25</v>
      </c>
      <c r="X80" s="11">
        <v>0</v>
      </c>
      <c r="Y80" s="11">
        <v>1</v>
      </c>
      <c r="Z80" s="2" t="s">
        <v>380</v>
      </c>
      <c r="AA80" s="2" t="s">
        <v>640</v>
      </c>
      <c r="AB80" s="3">
        <v>42916</v>
      </c>
      <c r="AC80" s="2">
        <v>3300000</v>
      </c>
      <c r="AD80" s="2" t="s">
        <v>107</v>
      </c>
      <c r="AE80" s="2">
        <v>0</v>
      </c>
      <c r="AF80" s="4">
        <v>4296000</v>
      </c>
      <c r="AG80" s="8">
        <v>40356.11</v>
      </c>
      <c r="AH80" s="8">
        <f t="shared" si="4"/>
        <v>43386.853860999996</v>
      </c>
      <c r="AI80" s="8">
        <f t="shared" si="5"/>
        <v>3030.7438609999954</v>
      </c>
      <c r="AJ80" s="8">
        <f t="shared" si="6"/>
        <v>42539.375551000005</v>
      </c>
      <c r="AK80" s="8">
        <f t="shared" si="7"/>
        <v>2183.2655510000041</v>
      </c>
    </row>
    <row r="81" spans="1:37" x14ac:dyDescent="0.3">
      <c r="A81" s="1">
        <v>85</v>
      </c>
      <c r="B81" s="2" t="s">
        <v>641</v>
      </c>
      <c r="C81" s="2" t="s">
        <v>371</v>
      </c>
      <c r="D81" s="2" t="s">
        <v>101</v>
      </c>
      <c r="E81" s="1">
        <v>1</v>
      </c>
      <c r="F81" s="2" t="s">
        <v>642</v>
      </c>
      <c r="G81" s="2" t="s">
        <v>471</v>
      </c>
      <c r="H81" s="2" t="s">
        <v>31</v>
      </c>
      <c r="I81" s="2" t="s">
        <v>409</v>
      </c>
      <c r="J81" s="2" t="s">
        <v>31</v>
      </c>
      <c r="K81" s="10" t="s">
        <v>31</v>
      </c>
      <c r="L81" s="2" t="s">
        <v>643</v>
      </c>
      <c r="M81" s="2" t="s">
        <v>644</v>
      </c>
      <c r="N81" s="2" t="s">
        <v>31</v>
      </c>
      <c r="O81" s="2" t="s">
        <v>31</v>
      </c>
      <c r="P81" s="2" t="s">
        <v>645</v>
      </c>
      <c r="Q81" s="2" t="s">
        <v>59</v>
      </c>
      <c r="R81" s="2" t="s">
        <v>48</v>
      </c>
      <c r="S81" s="2" t="s">
        <v>31</v>
      </c>
      <c r="T81" s="2" t="s">
        <v>60</v>
      </c>
      <c r="U81" s="2">
        <v>13510</v>
      </c>
      <c r="V81" s="10">
        <v>1886</v>
      </c>
      <c r="W81" s="10">
        <v>5216.8000099999999</v>
      </c>
      <c r="X81" s="11">
        <v>0</v>
      </c>
      <c r="Y81" s="11">
        <v>1</v>
      </c>
      <c r="Z81" s="2" t="s">
        <v>380</v>
      </c>
      <c r="AA81" s="2" t="s">
        <v>646</v>
      </c>
      <c r="AB81" s="3">
        <v>22068</v>
      </c>
      <c r="AC81" s="2">
        <v>0</v>
      </c>
      <c r="AD81" s="2" t="s">
        <v>107</v>
      </c>
      <c r="AE81" s="2">
        <v>0</v>
      </c>
      <c r="AF81" s="4">
        <v>4414700</v>
      </c>
      <c r="AG81" s="8">
        <v>41571.589999999997</v>
      </c>
      <c r="AH81" s="8">
        <f t="shared" si="4"/>
        <v>44693.616408999995</v>
      </c>
      <c r="AI81" s="8">
        <f t="shared" si="5"/>
        <v>3122.0264089999982</v>
      </c>
      <c r="AJ81" s="8">
        <f t="shared" si="6"/>
        <v>43820.613018999997</v>
      </c>
      <c r="AK81" s="8">
        <f t="shared" si="7"/>
        <v>2249.0230190000002</v>
      </c>
    </row>
    <row r="82" spans="1:37" x14ac:dyDescent="0.3">
      <c r="A82" s="1">
        <v>86</v>
      </c>
      <c r="B82" s="2" t="s">
        <v>647</v>
      </c>
      <c r="C82" s="2" t="s">
        <v>371</v>
      </c>
      <c r="D82" s="2" t="s">
        <v>101</v>
      </c>
      <c r="E82" s="1">
        <v>1</v>
      </c>
      <c r="F82" s="2" t="s">
        <v>648</v>
      </c>
      <c r="G82" s="2" t="s">
        <v>471</v>
      </c>
      <c r="H82" s="2" t="s">
        <v>31</v>
      </c>
      <c r="I82" s="2" t="s">
        <v>343</v>
      </c>
      <c r="J82" s="2" t="s">
        <v>31</v>
      </c>
      <c r="K82" s="10" t="s">
        <v>31</v>
      </c>
      <c r="L82" s="2" t="s">
        <v>649</v>
      </c>
      <c r="M82" s="2" t="s">
        <v>650</v>
      </c>
      <c r="N82" s="2" t="s">
        <v>31</v>
      </c>
      <c r="O82" s="2" t="s">
        <v>31</v>
      </c>
      <c r="P82" s="2" t="s">
        <v>651</v>
      </c>
      <c r="Q82" s="2" t="s">
        <v>59</v>
      </c>
      <c r="R82" s="2" t="s">
        <v>48</v>
      </c>
      <c r="S82" s="2" t="s">
        <v>31</v>
      </c>
      <c r="T82" s="2" t="s">
        <v>60</v>
      </c>
      <c r="U82" s="2">
        <v>11754</v>
      </c>
      <c r="V82" s="10">
        <v>1916</v>
      </c>
      <c r="W82" s="10">
        <v>4382.40002</v>
      </c>
      <c r="X82" s="11">
        <v>0</v>
      </c>
      <c r="Y82" s="11">
        <v>1</v>
      </c>
      <c r="Z82" s="2" t="s">
        <v>380</v>
      </c>
      <c r="AA82" s="2" t="s">
        <v>652</v>
      </c>
      <c r="AB82" s="3">
        <v>28157</v>
      </c>
      <c r="AC82" s="2">
        <v>100</v>
      </c>
      <c r="AD82" s="2" t="s">
        <v>107</v>
      </c>
      <c r="AE82" s="2">
        <v>0</v>
      </c>
      <c r="AF82" s="4">
        <v>3877000</v>
      </c>
      <c r="AG82" s="8">
        <v>36065.550000000003</v>
      </c>
      <c r="AH82" s="8">
        <f t="shared" si="4"/>
        <v>38774.072805000003</v>
      </c>
      <c r="AI82" s="8">
        <f t="shared" si="5"/>
        <v>2708.5228050000005</v>
      </c>
      <c r="AJ82" s="8">
        <f t="shared" si="6"/>
        <v>38016.696255000003</v>
      </c>
      <c r="AK82" s="8">
        <f t="shared" si="7"/>
        <v>1951.1462549999997</v>
      </c>
    </row>
    <row r="83" spans="1:37" x14ac:dyDescent="0.3">
      <c r="A83" s="1">
        <v>87</v>
      </c>
      <c r="B83" s="2" t="s">
        <v>653</v>
      </c>
      <c r="C83" s="2" t="s">
        <v>371</v>
      </c>
      <c r="D83" s="2" t="s">
        <v>101</v>
      </c>
      <c r="E83" s="1">
        <v>1</v>
      </c>
      <c r="F83" s="2" t="s">
        <v>654</v>
      </c>
      <c r="G83" s="2" t="s">
        <v>655</v>
      </c>
      <c r="H83" s="2" t="s">
        <v>31</v>
      </c>
      <c r="I83" s="2" t="s">
        <v>343</v>
      </c>
      <c r="J83" s="2" t="s">
        <v>31</v>
      </c>
      <c r="K83" s="10" t="s">
        <v>31</v>
      </c>
      <c r="L83" s="2" t="s">
        <v>656</v>
      </c>
      <c r="M83" s="2" t="s">
        <v>31</v>
      </c>
      <c r="N83" s="2" t="s">
        <v>31</v>
      </c>
      <c r="O83" s="2" t="s">
        <v>31</v>
      </c>
      <c r="P83" s="2" t="s">
        <v>657</v>
      </c>
      <c r="Q83" s="2" t="s">
        <v>658</v>
      </c>
      <c r="R83" s="2" t="s">
        <v>210</v>
      </c>
      <c r="S83" s="2" t="s">
        <v>31</v>
      </c>
      <c r="T83" s="2" t="s">
        <v>659</v>
      </c>
      <c r="U83" s="2">
        <v>10070</v>
      </c>
      <c r="V83" s="10">
        <v>1900</v>
      </c>
      <c r="W83" s="10">
        <v>5880.8000199999997</v>
      </c>
      <c r="X83" s="11">
        <v>0</v>
      </c>
      <c r="Y83" s="11">
        <v>1</v>
      </c>
      <c r="Z83" s="2" t="s">
        <v>380</v>
      </c>
      <c r="AA83" s="2" t="s">
        <v>660</v>
      </c>
      <c r="AB83" s="3">
        <v>45098</v>
      </c>
      <c r="AC83" s="2">
        <v>2900000</v>
      </c>
      <c r="AD83" s="2" t="s">
        <v>39</v>
      </c>
      <c r="AE83" s="2">
        <v>0</v>
      </c>
      <c r="AF83" s="4">
        <v>3907600</v>
      </c>
      <c r="AG83" s="8">
        <v>40013.82</v>
      </c>
      <c r="AH83" s="8">
        <f t="shared" si="4"/>
        <v>43018.857881999997</v>
      </c>
      <c r="AI83" s="8">
        <f t="shared" si="5"/>
        <v>3005.0378819999969</v>
      </c>
      <c r="AJ83" s="8">
        <f t="shared" si="6"/>
        <v>42178.567662000001</v>
      </c>
      <c r="AK83" s="8">
        <f t="shared" si="7"/>
        <v>2164.7476620000016</v>
      </c>
    </row>
    <row r="84" spans="1:37" x14ac:dyDescent="0.3">
      <c r="A84" s="1">
        <v>88</v>
      </c>
      <c r="B84" s="2" t="s">
        <v>661</v>
      </c>
      <c r="C84" s="2" t="s">
        <v>371</v>
      </c>
      <c r="D84" s="2" t="s">
        <v>101</v>
      </c>
      <c r="E84" s="1">
        <v>1</v>
      </c>
      <c r="F84" s="2" t="s">
        <v>662</v>
      </c>
      <c r="G84" s="2" t="s">
        <v>663</v>
      </c>
      <c r="H84" s="2" t="s">
        <v>31</v>
      </c>
      <c r="I84" s="2" t="s">
        <v>664</v>
      </c>
      <c r="J84" s="2" t="s">
        <v>31</v>
      </c>
      <c r="K84" s="10" t="s">
        <v>31</v>
      </c>
      <c r="L84" s="2" t="s">
        <v>665</v>
      </c>
      <c r="M84" s="2" t="s">
        <v>666</v>
      </c>
      <c r="N84" s="2" t="s">
        <v>31</v>
      </c>
      <c r="O84" s="2" t="s">
        <v>31</v>
      </c>
      <c r="P84" s="2" t="s">
        <v>667</v>
      </c>
      <c r="Q84" s="2" t="s">
        <v>668</v>
      </c>
      <c r="R84" s="2" t="s">
        <v>48</v>
      </c>
      <c r="S84" s="2" t="s">
        <v>31</v>
      </c>
      <c r="T84" s="2" t="s">
        <v>60</v>
      </c>
      <c r="U84" s="2">
        <v>15880</v>
      </c>
      <c r="V84" s="10">
        <v>1918</v>
      </c>
      <c r="W84" s="10">
        <v>2682.0000100000002</v>
      </c>
      <c r="X84" s="11">
        <v>0</v>
      </c>
      <c r="Y84" s="11">
        <v>1</v>
      </c>
      <c r="Z84" s="2" t="s">
        <v>380</v>
      </c>
      <c r="AA84" s="2" t="s">
        <v>669</v>
      </c>
      <c r="AB84" s="3">
        <v>42311</v>
      </c>
      <c r="AC84" s="2">
        <v>1</v>
      </c>
      <c r="AD84" s="2" t="s">
        <v>107</v>
      </c>
      <c r="AE84" s="2">
        <v>0</v>
      </c>
      <c r="AF84" s="4">
        <v>3229700</v>
      </c>
      <c r="AG84" s="8">
        <v>29437.19</v>
      </c>
      <c r="AH84" s="8">
        <f t="shared" si="4"/>
        <v>31647.922968999996</v>
      </c>
      <c r="AI84" s="8">
        <f t="shared" si="5"/>
        <v>2210.732968999997</v>
      </c>
      <c r="AJ84" s="8">
        <f t="shared" si="6"/>
        <v>31029.741978999999</v>
      </c>
      <c r="AK84" s="8">
        <f t="shared" si="7"/>
        <v>1592.5519789999998</v>
      </c>
    </row>
    <row r="85" spans="1:37" x14ac:dyDescent="0.3">
      <c r="A85" s="1">
        <v>90</v>
      </c>
      <c r="B85" s="2" t="s">
        <v>670</v>
      </c>
      <c r="C85" s="2" t="s">
        <v>100</v>
      </c>
      <c r="D85" s="2" t="s">
        <v>101</v>
      </c>
      <c r="E85" s="1">
        <v>1</v>
      </c>
      <c r="F85" s="2" t="s">
        <v>671</v>
      </c>
      <c r="G85" s="2" t="s">
        <v>554</v>
      </c>
      <c r="H85" s="2" t="s">
        <v>31</v>
      </c>
      <c r="I85" s="2" t="s">
        <v>664</v>
      </c>
      <c r="J85" s="2" t="s">
        <v>314</v>
      </c>
      <c r="K85" s="10" t="s">
        <v>2826</v>
      </c>
      <c r="L85" s="2" t="s">
        <v>672</v>
      </c>
      <c r="M85" s="2" t="s">
        <v>673</v>
      </c>
      <c r="N85" s="2" t="s">
        <v>31</v>
      </c>
      <c r="O85" s="2" t="s">
        <v>31</v>
      </c>
      <c r="P85" s="2" t="s">
        <v>674</v>
      </c>
      <c r="Q85" s="2" t="s">
        <v>59</v>
      </c>
      <c r="R85" s="2" t="s">
        <v>48</v>
      </c>
      <c r="S85" s="2" t="s">
        <v>31</v>
      </c>
      <c r="T85" s="2" t="s">
        <v>60</v>
      </c>
      <c r="U85" s="2">
        <v>0</v>
      </c>
      <c r="V85" s="10">
        <v>1910</v>
      </c>
      <c r="W85" s="10">
        <v>2287</v>
      </c>
      <c r="X85" s="11">
        <v>0</v>
      </c>
      <c r="Y85" s="11">
        <v>1</v>
      </c>
      <c r="Z85" s="2" t="s">
        <v>31</v>
      </c>
      <c r="AA85" s="2" t="s">
        <v>675</v>
      </c>
      <c r="AB85" s="3">
        <v>38552</v>
      </c>
      <c r="AC85" s="2">
        <v>840000</v>
      </c>
      <c r="AD85" s="2" t="s">
        <v>107</v>
      </c>
      <c r="AE85" s="2">
        <v>31.85</v>
      </c>
      <c r="AF85" s="4">
        <v>1563500</v>
      </c>
      <c r="AG85" s="8">
        <v>12375.31</v>
      </c>
      <c r="AH85" s="8">
        <f t="shared" si="4"/>
        <v>13304.695780999999</v>
      </c>
      <c r="AI85" s="8">
        <f t="shared" si="5"/>
        <v>929.38578099999904</v>
      </c>
      <c r="AJ85" s="8">
        <f t="shared" si="6"/>
        <v>13044.814270999999</v>
      </c>
      <c r="AK85" s="8">
        <f t="shared" si="7"/>
        <v>669.50427099999979</v>
      </c>
    </row>
    <row r="86" spans="1:37" x14ac:dyDescent="0.3">
      <c r="A86" s="1">
        <v>91</v>
      </c>
      <c r="B86" s="2" t="s">
        <v>676</v>
      </c>
      <c r="C86" s="2" t="s">
        <v>100</v>
      </c>
      <c r="D86" s="2" t="s">
        <v>101</v>
      </c>
      <c r="E86" s="1">
        <v>1</v>
      </c>
      <c r="F86" s="2" t="s">
        <v>677</v>
      </c>
      <c r="G86" s="2" t="s">
        <v>554</v>
      </c>
      <c r="H86" s="2" t="s">
        <v>31</v>
      </c>
      <c r="I86" s="2" t="s">
        <v>664</v>
      </c>
      <c r="J86" s="2" t="s">
        <v>322</v>
      </c>
      <c r="K86" s="10" t="s">
        <v>2826</v>
      </c>
      <c r="L86" s="2" t="s">
        <v>678</v>
      </c>
      <c r="M86" s="2" t="s">
        <v>346</v>
      </c>
      <c r="N86" s="2" t="s">
        <v>679</v>
      </c>
      <c r="O86" s="2" t="s">
        <v>680</v>
      </c>
      <c r="P86" s="2" t="s">
        <v>681</v>
      </c>
      <c r="Q86" s="2" t="s">
        <v>59</v>
      </c>
      <c r="R86" s="2" t="s">
        <v>48</v>
      </c>
      <c r="S86" s="2" t="s">
        <v>31</v>
      </c>
      <c r="T86" s="2" t="s">
        <v>60</v>
      </c>
      <c r="U86" s="2">
        <v>0</v>
      </c>
      <c r="V86" s="10">
        <v>1910</v>
      </c>
      <c r="W86" s="10">
        <v>2287</v>
      </c>
      <c r="X86" s="11">
        <v>0</v>
      </c>
      <c r="Y86" s="11">
        <v>1</v>
      </c>
      <c r="Z86" s="2" t="s">
        <v>31</v>
      </c>
      <c r="AA86" s="2" t="s">
        <v>682</v>
      </c>
      <c r="AB86" s="3">
        <v>37463</v>
      </c>
      <c r="AC86" s="2">
        <v>695000</v>
      </c>
      <c r="AD86" s="2" t="s">
        <v>107</v>
      </c>
      <c r="AE86" s="2">
        <v>31.85</v>
      </c>
      <c r="AF86" s="4">
        <v>1550500</v>
      </c>
      <c r="AG86" s="8">
        <v>12242.19</v>
      </c>
      <c r="AH86" s="8">
        <f t="shared" si="4"/>
        <v>13161.578469</v>
      </c>
      <c r="AI86" s="8">
        <f t="shared" si="5"/>
        <v>919.38846899999953</v>
      </c>
      <c r="AJ86" s="8">
        <f t="shared" si="6"/>
        <v>12904.492479</v>
      </c>
      <c r="AK86" s="8">
        <f t="shared" si="7"/>
        <v>662.30247899999995</v>
      </c>
    </row>
    <row r="87" spans="1:37" x14ac:dyDescent="0.3">
      <c r="A87" s="1">
        <v>92</v>
      </c>
      <c r="B87" s="2" t="s">
        <v>683</v>
      </c>
      <c r="C87" s="2" t="s">
        <v>100</v>
      </c>
      <c r="D87" s="2" t="s">
        <v>101</v>
      </c>
      <c r="E87" s="1">
        <v>1</v>
      </c>
      <c r="F87" s="2" t="s">
        <v>684</v>
      </c>
      <c r="G87" s="2" t="s">
        <v>554</v>
      </c>
      <c r="H87" s="2" t="s">
        <v>31</v>
      </c>
      <c r="I87" s="2" t="s">
        <v>664</v>
      </c>
      <c r="J87" s="2" t="s">
        <v>685</v>
      </c>
      <c r="K87" s="10" t="s">
        <v>2826</v>
      </c>
      <c r="L87" s="2" t="s">
        <v>686</v>
      </c>
      <c r="M87" s="2" t="s">
        <v>687</v>
      </c>
      <c r="N87" s="2" t="s">
        <v>31</v>
      </c>
      <c r="O87" s="2" t="s">
        <v>31</v>
      </c>
      <c r="P87" s="2" t="s">
        <v>688</v>
      </c>
      <c r="Q87" s="2" t="s">
        <v>59</v>
      </c>
      <c r="R87" s="2" t="s">
        <v>48</v>
      </c>
      <c r="S87" s="2" t="s">
        <v>31</v>
      </c>
      <c r="T87" s="2" t="s">
        <v>60</v>
      </c>
      <c r="U87" s="2">
        <v>0</v>
      </c>
      <c r="V87" s="10">
        <v>1910</v>
      </c>
      <c r="W87" s="10">
        <v>2246</v>
      </c>
      <c r="X87" s="11">
        <v>0</v>
      </c>
      <c r="Y87" s="11">
        <v>1</v>
      </c>
      <c r="Z87" s="2" t="s">
        <v>31</v>
      </c>
      <c r="AA87" s="2" t="s">
        <v>689</v>
      </c>
      <c r="AB87" s="3">
        <v>42297</v>
      </c>
      <c r="AC87" s="2">
        <v>1600000</v>
      </c>
      <c r="AD87" s="2" t="s">
        <v>39</v>
      </c>
      <c r="AE87" s="2">
        <v>36.299999999999997</v>
      </c>
      <c r="AF87" s="4">
        <v>1880200</v>
      </c>
      <c r="AG87" s="8">
        <v>19253.25</v>
      </c>
      <c r="AH87" s="8">
        <f t="shared" si="4"/>
        <v>20699.169074999998</v>
      </c>
      <c r="AI87" s="8">
        <f t="shared" si="5"/>
        <v>1445.919074999998</v>
      </c>
      <c r="AJ87" s="8">
        <f t="shared" si="6"/>
        <v>20294.850825000001</v>
      </c>
      <c r="AK87" s="8">
        <f t="shared" si="7"/>
        <v>1041.6008250000014</v>
      </c>
    </row>
    <row r="88" spans="1:37" x14ac:dyDescent="0.3">
      <c r="A88" s="1">
        <v>93</v>
      </c>
      <c r="B88" s="2" t="s">
        <v>690</v>
      </c>
      <c r="C88" s="2" t="s">
        <v>471</v>
      </c>
      <c r="D88" s="2" t="s">
        <v>28</v>
      </c>
      <c r="E88" s="1">
        <v>6</v>
      </c>
      <c r="F88" s="2" t="s">
        <v>691</v>
      </c>
      <c r="G88" s="2" t="s">
        <v>539</v>
      </c>
      <c r="H88" s="2" t="s">
        <v>31</v>
      </c>
      <c r="I88" s="2" t="s">
        <v>664</v>
      </c>
      <c r="J88" s="2" t="s">
        <v>31</v>
      </c>
      <c r="K88" s="10" t="s">
        <v>31</v>
      </c>
      <c r="L88" s="2" t="s">
        <v>692</v>
      </c>
      <c r="M88" s="2" t="s">
        <v>31</v>
      </c>
      <c r="N88" s="2" t="s">
        <v>693</v>
      </c>
      <c r="O88" s="2" t="s">
        <v>31</v>
      </c>
      <c r="P88" s="2" t="s">
        <v>694</v>
      </c>
      <c r="Q88" s="2" t="s">
        <v>59</v>
      </c>
      <c r="R88" s="2" t="s">
        <v>48</v>
      </c>
      <c r="S88" s="2" t="s">
        <v>31</v>
      </c>
      <c r="T88" s="2" t="s">
        <v>60</v>
      </c>
      <c r="U88" s="2">
        <v>4583</v>
      </c>
      <c r="V88" s="10">
        <v>1905</v>
      </c>
      <c r="W88" s="10">
        <v>8548.14</v>
      </c>
      <c r="X88" s="11">
        <v>0</v>
      </c>
      <c r="Y88" s="11">
        <v>6</v>
      </c>
      <c r="Z88" s="2" t="s">
        <v>447</v>
      </c>
      <c r="AA88" s="2" t="s">
        <v>695</v>
      </c>
      <c r="AB88" s="3">
        <v>40312</v>
      </c>
      <c r="AC88" s="2">
        <v>4900000</v>
      </c>
      <c r="AD88" s="2" t="s">
        <v>39</v>
      </c>
      <c r="AE88" s="2">
        <v>0</v>
      </c>
      <c r="AF88" s="4">
        <v>4243800</v>
      </c>
      <c r="AG88" s="8">
        <v>43456.51</v>
      </c>
      <c r="AH88" s="8">
        <f t="shared" si="4"/>
        <v>46720.093901</v>
      </c>
      <c r="AI88" s="8">
        <f t="shared" si="5"/>
        <v>3263.5839009999981</v>
      </c>
      <c r="AJ88" s="8">
        <f t="shared" si="6"/>
        <v>45807.507191000004</v>
      </c>
      <c r="AK88" s="8">
        <f t="shared" si="7"/>
        <v>2350.9971910000022</v>
      </c>
    </row>
    <row r="89" spans="1:37" x14ac:dyDescent="0.3">
      <c r="A89" s="1">
        <v>94</v>
      </c>
      <c r="B89" s="2" t="s">
        <v>696</v>
      </c>
      <c r="C89" s="2" t="s">
        <v>471</v>
      </c>
      <c r="D89" s="2" t="s">
        <v>28</v>
      </c>
      <c r="E89" s="1">
        <v>6</v>
      </c>
      <c r="F89" s="2" t="s">
        <v>697</v>
      </c>
      <c r="G89" s="2" t="s">
        <v>698</v>
      </c>
      <c r="H89" s="2" t="s">
        <v>31</v>
      </c>
      <c r="I89" s="2" t="s">
        <v>664</v>
      </c>
      <c r="J89" s="2" t="s">
        <v>31</v>
      </c>
      <c r="K89" s="10" t="s">
        <v>31</v>
      </c>
      <c r="L89" s="2" t="s">
        <v>692</v>
      </c>
      <c r="M89" s="2" t="s">
        <v>31</v>
      </c>
      <c r="N89" s="2" t="s">
        <v>31</v>
      </c>
      <c r="O89" s="2" t="s">
        <v>31</v>
      </c>
      <c r="P89" s="2" t="s">
        <v>694</v>
      </c>
      <c r="Q89" s="2" t="s">
        <v>59</v>
      </c>
      <c r="R89" s="2" t="s">
        <v>48</v>
      </c>
      <c r="S89" s="2" t="s">
        <v>31</v>
      </c>
      <c r="T89" s="2" t="s">
        <v>60</v>
      </c>
      <c r="U89" s="2">
        <v>4501</v>
      </c>
      <c r="V89" s="10">
        <v>1905</v>
      </c>
      <c r="W89" s="10">
        <v>8569.43</v>
      </c>
      <c r="X89" s="11">
        <v>0</v>
      </c>
      <c r="Y89" s="11">
        <v>6</v>
      </c>
      <c r="Z89" s="2" t="s">
        <v>447</v>
      </c>
      <c r="AA89" s="2" t="s">
        <v>695</v>
      </c>
      <c r="AB89" s="3">
        <v>40312</v>
      </c>
      <c r="AC89" s="2">
        <v>4900000</v>
      </c>
      <c r="AD89" s="2" t="s">
        <v>39</v>
      </c>
      <c r="AE89" s="2">
        <v>0</v>
      </c>
      <c r="AF89" s="4">
        <v>4243800</v>
      </c>
      <c r="AG89" s="8">
        <v>43456.51</v>
      </c>
      <c r="AH89" s="8">
        <f t="shared" si="4"/>
        <v>46720.093901</v>
      </c>
      <c r="AI89" s="8">
        <f t="shared" si="5"/>
        <v>3263.5839009999981</v>
      </c>
      <c r="AJ89" s="8">
        <f t="shared" si="6"/>
        <v>45807.507191000004</v>
      </c>
      <c r="AK89" s="8">
        <f t="shared" si="7"/>
        <v>2350.9971910000022</v>
      </c>
    </row>
    <row r="90" spans="1:37" x14ac:dyDescent="0.3">
      <c r="A90" s="1">
        <v>95</v>
      </c>
      <c r="B90" s="2" t="s">
        <v>699</v>
      </c>
      <c r="C90" s="2" t="s">
        <v>471</v>
      </c>
      <c r="D90" s="2" t="s">
        <v>28</v>
      </c>
      <c r="E90" s="1">
        <v>6</v>
      </c>
      <c r="F90" s="2" t="s">
        <v>700</v>
      </c>
      <c r="G90" s="2" t="s">
        <v>701</v>
      </c>
      <c r="H90" s="2" t="s">
        <v>31</v>
      </c>
      <c r="I90" s="2" t="s">
        <v>664</v>
      </c>
      <c r="J90" s="2" t="s">
        <v>31</v>
      </c>
      <c r="K90" s="10" t="s">
        <v>31</v>
      </c>
      <c r="L90" s="2" t="s">
        <v>692</v>
      </c>
      <c r="M90" s="2" t="s">
        <v>31</v>
      </c>
      <c r="N90" s="2" t="s">
        <v>693</v>
      </c>
      <c r="O90" s="2" t="s">
        <v>31</v>
      </c>
      <c r="P90" s="2" t="s">
        <v>694</v>
      </c>
      <c r="Q90" s="2" t="s">
        <v>59</v>
      </c>
      <c r="R90" s="2" t="s">
        <v>48</v>
      </c>
      <c r="S90" s="2" t="s">
        <v>31</v>
      </c>
      <c r="T90" s="2" t="s">
        <v>60</v>
      </c>
      <c r="U90" s="2">
        <v>4597</v>
      </c>
      <c r="V90" s="10">
        <v>1905</v>
      </c>
      <c r="W90" s="10">
        <v>8590.7099999999991</v>
      </c>
      <c r="X90" s="11">
        <v>0</v>
      </c>
      <c r="Y90" s="11">
        <v>6</v>
      </c>
      <c r="Z90" s="2" t="s">
        <v>447</v>
      </c>
      <c r="AA90" s="2" t="s">
        <v>695</v>
      </c>
      <c r="AB90" s="3">
        <v>40312</v>
      </c>
      <c r="AC90" s="2">
        <v>4900000</v>
      </c>
      <c r="AD90" s="2" t="s">
        <v>39</v>
      </c>
      <c r="AE90" s="2">
        <v>0</v>
      </c>
      <c r="AF90" s="4">
        <v>4243800</v>
      </c>
      <c r="AG90" s="8">
        <v>43456.51</v>
      </c>
      <c r="AH90" s="8">
        <f t="shared" si="4"/>
        <v>46720.093901</v>
      </c>
      <c r="AI90" s="8">
        <f t="shared" si="5"/>
        <v>3263.5839009999981</v>
      </c>
      <c r="AJ90" s="8">
        <f t="shared" si="6"/>
        <v>45807.507191000004</v>
      </c>
      <c r="AK90" s="8">
        <f t="shared" si="7"/>
        <v>2350.9971910000022</v>
      </c>
    </row>
    <row r="91" spans="1:37" x14ac:dyDescent="0.3">
      <c r="A91" s="1">
        <v>97</v>
      </c>
      <c r="B91" s="2" t="s">
        <v>702</v>
      </c>
      <c r="C91" s="2" t="s">
        <v>100</v>
      </c>
      <c r="D91" s="2" t="s">
        <v>101</v>
      </c>
      <c r="E91" s="1">
        <v>1</v>
      </c>
      <c r="F91" s="2" t="s">
        <v>703</v>
      </c>
      <c r="G91" s="2" t="s">
        <v>507</v>
      </c>
      <c r="H91" s="2" t="s">
        <v>31</v>
      </c>
      <c r="I91" s="2" t="s">
        <v>664</v>
      </c>
      <c r="J91" s="2" t="s">
        <v>314</v>
      </c>
      <c r="K91" s="10" t="s">
        <v>2827</v>
      </c>
      <c r="L91" s="2" t="s">
        <v>704</v>
      </c>
      <c r="M91" s="2" t="s">
        <v>705</v>
      </c>
      <c r="N91" s="2" t="s">
        <v>31</v>
      </c>
      <c r="O91" s="2" t="s">
        <v>31</v>
      </c>
      <c r="P91" s="2" t="s">
        <v>706</v>
      </c>
      <c r="Q91" s="2" t="s">
        <v>59</v>
      </c>
      <c r="R91" s="2" t="s">
        <v>48</v>
      </c>
      <c r="S91" s="2" t="s">
        <v>31</v>
      </c>
      <c r="T91" s="2" t="s">
        <v>60</v>
      </c>
      <c r="U91" s="2">
        <v>0</v>
      </c>
      <c r="V91" s="10">
        <v>1910</v>
      </c>
      <c r="W91" s="10">
        <v>1996</v>
      </c>
      <c r="X91" s="11">
        <v>0</v>
      </c>
      <c r="Y91" s="11">
        <v>1</v>
      </c>
      <c r="Z91" s="2" t="s">
        <v>31</v>
      </c>
      <c r="AA91" s="2" t="s">
        <v>707</v>
      </c>
      <c r="AB91" s="3">
        <v>44393</v>
      </c>
      <c r="AC91" s="2">
        <v>1350000</v>
      </c>
      <c r="AD91" s="2" t="s">
        <v>107</v>
      </c>
      <c r="AE91" s="2">
        <v>34.21</v>
      </c>
      <c r="AF91" s="4">
        <v>1443500</v>
      </c>
      <c r="AG91" s="8">
        <v>11146.51</v>
      </c>
      <c r="AH91" s="8">
        <f t="shared" si="4"/>
        <v>11983.612901</v>
      </c>
      <c r="AI91" s="8">
        <f t="shared" si="5"/>
        <v>837.1029010000002</v>
      </c>
      <c r="AJ91" s="8">
        <f t="shared" si="6"/>
        <v>11749.536191000001</v>
      </c>
      <c r="AK91" s="8">
        <f t="shared" si="7"/>
        <v>603.02619100000084</v>
      </c>
    </row>
    <row r="92" spans="1:37" x14ac:dyDescent="0.3">
      <c r="A92" s="1">
        <v>98</v>
      </c>
      <c r="B92" s="2" t="s">
        <v>708</v>
      </c>
      <c r="C92" s="2" t="s">
        <v>100</v>
      </c>
      <c r="D92" s="2" t="s">
        <v>101</v>
      </c>
      <c r="E92" s="1">
        <v>1</v>
      </c>
      <c r="F92" s="2" t="s">
        <v>709</v>
      </c>
      <c r="G92" s="2" t="s">
        <v>507</v>
      </c>
      <c r="H92" s="2" t="s">
        <v>31</v>
      </c>
      <c r="I92" s="2" t="s">
        <v>664</v>
      </c>
      <c r="J92" s="2" t="s">
        <v>322</v>
      </c>
      <c r="K92" s="10" t="s">
        <v>2827</v>
      </c>
      <c r="L92" s="2" t="s">
        <v>710</v>
      </c>
      <c r="M92" s="2" t="s">
        <v>711</v>
      </c>
      <c r="N92" s="2" t="s">
        <v>31</v>
      </c>
      <c r="O92" s="2" t="s">
        <v>31</v>
      </c>
      <c r="P92" s="2" t="s">
        <v>712</v>
      </c>
      <c r="Q92" s="2" t="s">
        <v>59</v>
      </c>
      <c r="R92" s="2" t="s">
        <v>48</v>
      </c>
      <c r="S92" s="2" t="s">
        <v>31</v>
      </c>
      <c r="T92" s="2" t="s">
        <v>60</v>
      </c>
      <c r="U92" s="2">
        <v>0</v>
      </c>
      <c r="V92" s="10">
        <v>1910</v>
      </c>
      <c r="W92" s="10">
        <v>1996</v>
      </c>
      <c r="X92" s="11">
        <v>0</v>
      </c>
      <c r="Y92" s="11">
        <v>1</v>
      </c>
      <c r="Z92" s="2" t="s">
        <v>31</v>
      </c>
      <c r="AA92" s="2" t="s">
        <v>713</v>
      </c>
      <c r="AB92" s="3">
        <v>34387</v>
      </c>
      <c r="AC92" s="2">
        <v>1</v>
      </c>
      <c r="AD92" s="2" t="s">
        <v>107</v>
      </c>
      <c r="AE92" s="2">
        <v>34.21</v>
      </c>
      <c r="AF92" s="4">
        <v>1261500</v>
      </c>
      <c r="AG92" s="8">
        <v>9282.83</v>
      </c>
      <c r="AH92" s="8">
        <f t="shared" si="4"/>
        <v>9979.9705329999997</v>
      </c>
      <c r="AI92" s="8">
        <f t="shared" si="5"/>
        <v>697.14053299999978</v>
      </c>
      <c r="AJ92" s="8">
        <f t="shared" si="6"/>
        <v>9785.0311030000012</v>
      </c>
      <c r="AK92" s="8">
        <f t="shared" si="7"/>
        <v>502.20110300000124</v>
      </c>
    </row>
    <row r="93" spans="1:37" x14ac:dyDescent="0.3">
      <c r="A93" s="1">
        <v>99</v>
      </c>
      <c r="B93" s="2" t="s">
        <v>714</v>
      </c>
      <c r="C93" s="2" t="s">
        <v>100</v>
      </c>
      <c r="D93" s="2" t="s">
        <v>101</v>
      </c>
      <c r="E93" s="1">
        <v>1</v>
      </c>
      <c r="F93" s="2" t="s">
        <v>715</v>
      </c>
      <c r="G93" s="2" t="s">
        <v>507</v>
      </c>
      <c r="H93" s="2" t="s">
        <v>31</v>
      </c>
      <c r="I93" s="2" t="s">
        <v>664</v>
      </c>
      <c r="J93" s="2" t="s">
        <v>299</v>
      </c>
      <c r="K93" s="10" t="s">
        <v>2827</v>
      </c>
      <c r="L93" s="2" t="s">
        <v>716</v>
      </c>
      <c r="M93" s="2" t="s">
        <v>717</v>
      </c>
      <c r="N93" s="2" t="s">
        <v>31</v>
      </c>
      <c r="O93" s="2" t="s">
        <v>31</v>
      </c>
      <c r="P93" s="2" t="s">
        <v>718</v>
      </c>
      <c r="Q93" s="2" t="s">
        <v>719</v>
      </c>
      <c r="R93" s="2" t="s">
        <v>720</v>
      </c>
      <c r="S93" s="2" t="s">
        <v>31</v>
      </c>
      <c r="T93" s="2" t="s">
        <v>721</v>
      </c>
      <c r="U93" s="2">
        <v>0</v>
      </c>
      <c r="V93" s="10">
        <v>1910</v>
      </c>
      <c r="W93" s="10">
        <v>1888</v>
      </c>
      <c r="X93" s="11">
        <v>0</v>
      </c>
      <c r="Y93" s="11">
        <v>1</v>
      </c>
      <c r="Z93" s="2" t="s">
        <v>31</v>
      </c>
      <c r="AA93" s="2" t="s">
        <v>722</v>
      </c>
      <c r="AB93" s="3">
        <v>34327</v>
      </c>
      <c r="AC93" s="2">
        <v>1</v>
      </c>
      <c r="AD93" s="2" t="s">
        <v>39</v>
      </c>
      <c r="AE93" s="2">
        <v>31.58</v>
      </c>
      <c r="AF93" s="4">
        <v>1215900</v>
      </c>
      <c r="AG93" s="8">
        <v>12450.82</v>
      </c>
      <c r="AH93" s="8">
        <f t="shared" si="4"/>
        <v>13385.876581999999</v>
      </c>
      <c r="AI93" s="8">
        <f t="shared" si="5"/>
        <v>935.05658199999925</v>
      </c>
      <c r="AJ93" s="8">
        <f t="shared" si="6"/>
        <v>13124.409362</v>
      </c>
      <c r="AK93" s="8">
        <f t="shared" si="7"/>
        <v>673.58936200000062</v>
      </c>
    </row>
    <row r="94" spans="1:37" x14ac:dyDescent="0.3">
      <c r="A94" s="1">
        <v>101</v>
      </c>
      <c r="B94" s="2" t="s">
        <v>723</v>
      </c>
      <c r="C94" s="2" t="s">
        <v>100</v>
      </c>
      <c r="D94" s="2" t="s">
        <v>101</v>
      </c>
      <c r="E94" s="1">
        <v>1</v>
      </c>
      <c r="F94" s="2" t="s">
        <v>724</v>
      </c>
      <c r="G94" s="2" t="s">
        <v>725</v>
      </c>
      <c r="H94" s="2" t="s">
        <v>31</v>
      </c>
      <c r="I94" s="2" t="s">
        <v>664</v>
      </c>
      <c r="J94" s="2" t="s">
        <v>314</v>
      </c>
      <c r="K94" s="10" t="s">
        <v>2828</v>
      </c>
      <c r="L94" s="2" t="s">
        <v>726</v>
      </c>
      <c r="M94" s="2" t="s">
        <v>727</v>
      </c>
      <c r="N94" s="2" t="s">
        <v>31</v>
      </c>
      <c r="O94" s="2" t="s">
        <v>31</v>
      </c>
      <c r="P94" s="2" t="s">
        <v>728</v>
      </c>
      <c r="Q94" s="2" t="s">
        <v>59</v>
      </c>
      <c r="R94" s="2" t="s">
        <v>48</v>
      </c>
      <c r="S94" s="2" t="s">
        <v>31</v>
      </c>
      <c r="T94" s="2" t="s">
        <v>60</v>
      </c>
      <c r="U94" s="2">
        <v>0</v>
      </c>
      <c r="V94" s="10">
        <v>1905</v>
      </c>
      <c r="W94" s="10">
        <v>884</v>
      </c>
      <c r="X94" s="11">
        <v>0</v>
      </c>
      <c r="Y94" s="11">
        <v>1</v>
      </c>
      <c r="Z94" s="2" t="s">
        <v>31</v>
      </c>
      <c r="AA94" s="2" t="s">
        <v>729</v>
      </c>
      <c r="AB94" s="3">
        <v>37882</v>
      </c>
      <c r="AC94" s="2">
        <v>299000</v>
      </c>
      <c r="AD94" s="2" t="s">
        <v>107</v>
      </c>
      <c r="AE94" s="2">
        <v>13.4</v>
      </c>
      <c r="AF94" s="4">
        <v>598100</v>
      </c>
      <c r="AG94" s="8">
        <v>2489.61</v>
      </c>
      <c r="AH94" s="8">
        <f t="shared" si="4"/>
        <v>2676.5797109999999</v>
      </c>
      <c r="AI94" s="8">
        <f t="shared" si="5"/>
        <v>186.96971099999973</v>
      </c>
      <c r="AJ94" s="8">
        <f t="shared" si="6"/>
        <v>2624.2979010000004</v>
      </c>
      <c r="AK94" s="8">
        <f t="shared" si="7"/>
        <v>134.68790100000024</v>
      </c>
    </row>
    <row r="95" spans="1:37" x14ac:dyDescent="0.3">
      <c r="A95" s="1">
        <v>102</v>
      </c>
      <c r="B95" s="2" t="s">
        <v>730</v>
      </c>
      <c r="C95" s="2" t="s">
        <v>100</v>
      </c>
      <c r="D95" s="2" t="s">
        <v>101</v>
      </c>
      <c r="E95" s="1">
        <v>1</v>
      </c>
      <c r="F95" s="2" t="s">
        <v>731</v>
      </c>
      <c r="G95" s="2" t="s">
        <v>725</v>
      </c>
      <c r="H95" s="2" t="s">
        <v>31</v>
      </c>
      <c r="I95" s="2" t="s">
        <v>664</v>
      </c>
      <c r="J95" s="2" t="s">
        <v>732</v>
      </c>
      <c r="K95" s="10" t="s">
        <v>2828</v>
      </c>
      <c r="L95" s="2" t="s">
        <v>601</v>
      </c>
      <c r="M95" s="2" t="s">
        <v>733</v>
      </c>
      <c r="N95" s="2" t="s">
        <v>31</v>
      </c>
      <c r="O95" s="2" t="s">
        <v>31</v>
      </c>
      <c r="P95" s="2" t="s">
        <v>734</v>
      </c>
      <c r="Q95" s="2" t="s">
        <v>59</v>
      </c>
      <c r="R95" s="2" t="s">
        <v>48</v>
      </c>
      <c r="S95" s="2" t="s">
        <v>31</v>
      </c>
      <c r="T95" s="2" t="s">
        <v>735</v>
      </c>
      <c r="U95" s="2">
        <v>0</v>
      </c>
      <c r="V95" s="10">
        <v>1905</v>
      </c>
      <c r="W95" s="10">
        <v>1120</v>
      </c>
      <c r="X95" s="11">
        <v>0</v>
      </c>
      <c r="Y95" s="11">
        <v>1</v>
      </c>
      <c r="Z95" s="2" t="s">
        <v>31</v>
      </c>
      <c r="AA95" s="2" t="s">
        <v>736</v>
      </c>
      <c r="AB95" s="3">
        <v>41726</v>
      </c>
      <c r="AC95" s="2">
        <v>628000</v>
      </c>
      <c r="AD95" s="2" t="s">
        <v>39</v>
      </c>
      <c r="AE95" s="2">
        <v>22</v>
      </c>
      <c r="AF95" s="4">
        <v>845200</v>
      </c>
      <c r="AG95" s="8">
        <v>8654.85</v>
      </c>
      <c r="AH95" s="8">
        <f t="shared" si="4"/>
        <v>9304.8292349999992</v>
      </c>
      <c r="AI95" s="8">
        <f t="shared" si="5"/>
        <v>649.97923499999888</v>
      </c>
      <c r="AJ95" s="8">
        <f t="shared" si="6"/>
        <v>9123.0773850000005</v>
      </c>
      <c r="AK95" s="8">
        <f t="shared" si="7"/>
        <v>468.22738500000014</v>
      </c>
    </row>
    <row r="96" spans="1:37" x14ac:dyDescent="0.3">
      <c r="A96" s="1">
        <v>103</v>
      </c>
      <c r="B96" s="2" t="s">
        <v>737</v>
      </c>
      <c r="C96" s="2" t="s">
        <v>100</v>
      </c>
      <c r="D96" s="2" t="s">
        <v>101</v>
      </c>
      <c r="E96" s="1">
        <v>1</v>
      </c>
      <c r="F96" s="2" t="s">
        <v>738</v>
      </c>
      <c r="G96" s="2" t="s">
        <v>725</v>
      </c>
      <c r="H96" s="2" t="s">
        <v>31</v>
      </c>
      <c r="I96" s="2" t="s">
        <v>664</v>
      </c>
      <c r="J96" s="2" t="s">
        <v>739</v>
      </c>
      <c r="K96" s="10" t="s">
        <v>2828</v>
      </c>
      <c r="L96" s="2" t="s">
        <v>740</v>
      </c>
      <c r="M96" s="2" t="s">
        <v>508</v>
      </c>
      <c r="N96" s="2" t="s">
        <v>31</v>
      </c>
      <c r="O96" s="2" t="s">
        <v>31</v>
      </c>
      <c r="P96" s="2" t="s">
        <v>741</v>
      </c>
      <c r="Q96" s="2" t="s">
        <v>59</v>
      </c>
      <c r="R96" s="2" t="s">
        <v>48</v>
      </c>
      <c r="S96" s="2" t="s">
        <v>31</v>
      </c>
      <c r="T96" s="2" t="s">
        <v>60</v>
      </c>
      <c r="U96" s="2">
        <v>0</v>
      </c>
      <c r="V96" s="10">
        <v>1905</v>
      </c>
      <c r="W96" s="10">
        <v>834</v>
      </c>
      <c r="X96" s="11">
        <v>0</v>
      </c>
      <c r="Y96" s="11">
        <v>1</v>
      </c>
      <c r="Z96" s="2" t="s">
        <v>31</v>
      </c>
      <c r="AA96" s="2" t="s">
        <v>742</v>
      </c>
      <c r="AB96" s="3">
        <v>42774</v>
      </c>
      <c r="AC96" s="2">
        <v>600000</v>
      </c>
      <c r="AD96" s="2" t="s">
        <v>39</v>
      </c>
      <c r="AE96" s="2">
        <v>13.4</v>
      </c>
      <c r="AF96" s="4">
        <v>711500</v>
      </c>
      <c r="AG96" s="8">
        <v>7285.76</v>
      </c>
      <c r="AH96" s="8">
        <f t="shared" si="4"/>
        <v>7832.9205759999995</v>
      </c>
      <c r="AI96" s="8">
        <f t="shared" si="5"/>
        <v>547.16057599999931</v>
      </c>
      <c r="AJ96" s="8">
        <f t="shared" si="6"/>
        <v>7679.9196160000001</v>
      </c>
      <c r="AK96" s="8">
        <f t="shared" si="7"/>
        <v>394.15961599999991</v>
      </c>
    </row>
    <row r="97" spans="1:37" x14ac:dyDescent="0.3">
      <c r="A97" s="1">
        <v>104</v>
      </c>
      <c r="B97" s="2" t="s">
        <v>743</v>
      </c>
      <c r="C97" s="2" t="s">
        <v>100</v>
      </c>
      <c r="D97" s="2" t="s">
        <v>101</v>
      </c>
      <c r="E97" s="1">
        <v>1</v>
      </c>
      <c r="F97" s="2" t="s">
        <v>744</v>
      </c>
      <c r="G97" s="2" t="s">
        <v>725</v>
      </c>
      <c r="H97" s="2" t="s">
        <v>31</v>
      </c>
      <c r="I97" s="2" t="s">
        <v>664</v>
      </c>
      <c r="J97" s="2" t="s">
        <v>745</v>
      </c>
      <c r="K97" s="10" t="s">
        <v>2828</v>
      </c>
      <c r="L97" s="2" t="s">
        <v>746</v>
      </c>
      <c r="M97" s="2" t="s">
        <v>747</v>
      </c>
      <c r="N97" s="2" t="s">
        <v>31</v>
      </c>
      <c r="O97" s="2" t="s">
        <v>31</v>
      </c>
      <c r="P97" s="2" t="s">
        <v>748</v>
      </c>
      <c r="Q97" s="2" t="s">
        <v>668</v>
      </c>
      <c r="R97" s="2" t="s">
        <v>48</v>
      </c>
      <c r="S97" s="2" t="s">
        <v>31</v>
      </c>
      <c r="T97" s="2" t="s">
        <v>60</v>
      </c>
      <c r="U97" s="2">
        <v>0</v>
      </c>
      <c r="V97" s="10">
        <v>1905</v>
      </c>
      <c r="W97" s="10">
        <v>1102</v>
      </c>
      <c r="X97" s="11">
        <v>0</v>
      </c>
      <c r="Y97" s="11">
        <v>1</v>
      </c>
      <c r="Z97" s="2" t="s">
        <v>31</v>
      </c>
      <c r="AA97" s="2" t="s">
        <v>749</v>
      </c>
      <c r="AB97" s="3">
        <v>44721</v>
      </c>
      <c r="AC97" s="2">
        <v>859000</v>
      </c>
      <c r="AD97" s="2" t="s">
        <v>107</v>
      </c>
      <c r="AE97" s="2">
        <v>23.6</v>
      </c>
      <c r="AF97" s="4">
        <v>830900</v>
      </c>
      <c r="AG97" s="8">
        <v>4873.4799999999996</v>
      </c>
      <c r="AH97" s="8">
        <f t="shared" si="4"/>
        <v>5239.4783479999996</v>
      </c>
      <c r="AI97" s="8">
        <f t="shared" si="5"/>
        <v>365.99834800000008</v>
      </c>
      <c r="AJ97" s="8">
        <f t="shared" si="6"/>
        <v>5137.135268</v>
      </c>
      <c r="AK97" s="8">
        <f t="shared" si="7"/>
        <v>263.65526800000043</v>
      </c>
    </row>
    <row r="98" spans="1:37" x14ac:dyDescent="0.3">
      <c r="A98" s="1">
        <v>105</v>
      </c>
      <c r="B98" s="2" t="s">
        <v>750</v>
      </c>
      <c r="C98" s="2" t="s">
        <v>100</v>
      </c>
      <c r="D98" s="2" t="s">
        <v>101</v>
      </c>
      <c r="E98" s="1">
        <v>1</v>
      </c>
      <c r="F98" s="2" t="s">
        <v>751</v>
      </c>
      <c r="G98" s="2" t="s">
        <v>725</v>
      </c>
      <c r="H98" s="2" t="s">
        <v>31</v>
      </c>
      <c r="I98" s="2" t="s">
        <v>664</v>
      </c>
      <c r="J98" s="2" t="s">
        <v>752</v>
      </c>
      <c r="K98" s="10" t="s">
        <v>2828</v>
      </c>
      <c r="L98" s="2" t="s">
        <v>753</v>
      </c>
      <c r="M98" s="2" t="s">
        <v>754</v>
      </c>
      <c r="N98" s="2" t="s">
        <v>31</v>
      </c>
      <c r="O98" s="2" t="s">
        <v>31</v>
      </c>
      <c r="P98" s="2" t="s">
        <v>755</v>
      </c>
      <c r="Q98" s="2" t="s">
        <v>59</v>
      </c>
      <c r="R98" s="2" t="s">
        <v>48</v>
      </c>
      <c r="S98" s="2" t="s">
        <v>31</v>
      </c>
      <c r="T98" s="2" t="s">
        <v>60</v>
      </c>
      <c r="U98" s="2">
        <v>0</v>
      </c>
      <c r="V98" s="10">
        <v>1905</v>
      </c>
      <c r="W98" s="10">
        <v>852</v>
      </c>
      <c r="X98" s="11">
        <v>0</v>
      </c>
      <c r="Y98" s="11">
        <v>1</v>
      </c>
      <c r="Z98" s="2" t="s">
        <v>31</v>
      </c>
      <c r="AA98" s="2" t="s">
        <v>756</v>
      </c>
      <c r="AB98" s="3">
        <v>44760</v>
      </c>
      <c r="AC98" s="2">
        <v>721650</v>
      </c>
      <c r="AD98" s="2" t="s">
        <v>39</v>
      </c>
      <c r="AE98" s="2">
        <v>13.4</v>
      </c>
      <c r="AF98" s="4">
        <v>598000</v>
      </c>
      <c r="AG98" s="8">
        <v>6123.52</v>
      </c>
      <c r="AH98" s="8">
        <f t="shared" si="4"/>
        <v>6583.3963519999998</v>
      </c>
      <c r="AI98" s="8">
        <f t="shared" si="5"/>
        <v>459.87635199999932</v>
      </c>
      <c r="AJ98" s="8">
        <f t="shared" si="6"/>
        <v>6454.8024320000004</v>
      </c>
      <c r="AK98" s="8">
        <f t="shared" si="7"/>
        <v>331.28243199999997</v>
      </c>
    </row>
    <row r="99" spans="1:37" x14ac:dyDescent="0.3">
      <c r="A99" s="1">
        <v>106</v>
      </c>
      <c r="B99" s="2" t="s">
        <v>757</v>
      </c>
      <c r="C99" s="2" t="s">
        <v>100</v>
      </c>
      <c r="D99" s="2" t="s">
        <v>101</v>
      </c>
      <c r="E99" s="1">
        <v>1</v>
      </c>
      <c r="F99" s="2" t="s">
        <v>758</v>
      </c>
      <c r="G99" s="2" t="s">
        <v>725</v>
      </c>
      <c r="H99" s="2" t="s">
        <v>31</v>
      </c>
      <c r="I99" s="2" t="s">
        <v>664</v>
      </c>
      <c r="J99" s="2" t="s">
        <v>759</v>
      </c>
      <c r="K99" s="10" t="s">
        <v>2828</v>
      </c>
      <c r="L99" s="2" t="s">
        <v>760</v>
      </c>
      <c r="M99" s="2" t="s">
        <v>761</v>
      </c>
      <c r="N99" s="2" t="s">
        <v>31</v>
      </c>
      <c r="O99" s="2" t="s">
        <v>31</v>
      </c>
      <c r="P99" s="2" t="s">
        <v>762</v>
      </c>
      <c r="Q99" s="2" t="s">
        <v>59</v>
      </c>
      <c r="R99" s="2" t="s">
        <v>48</v>
      </c>
      <c r="S99" s="2" t="s">
        <v>31</v>
      </c>
      <c r="T99" s="2" t="s">
        <v>60</v>
      </c>
      <c r="U99" s="2">
        <v>0</v>
      </c>
      <c r="V99" s="10">
        <v>1905</v>
      </c>
      <c r="W99" s="10">
        <v>916</v>
      </c>
      <c r="X99" s="11">
        <v>0</v>
      </c>
      <c r="Y99" s="11">
        <v>1</v>
      </c>
      <c r="Z99" s="2" t="s">
        <v>31</v>
      </c>
      <c r="AA99" s="2" t="s">
        <v>763</v>
      </c>
      <c r="AB99" s="3">
        <v>41347</v>
      </c>
      <c r="AC99" s="2">
        <v>428000</v>
      </c>
      <c r="AD99" s="2" t="s">
        <v>39</v>
      </c>
      <c r="AE99" s="2">
        <v>14.2</v>
      </c>
      <c r="AF99" s="4">
        <v>734000</v>
      </c>
      <c r="AG99" s="8">
        <v>7516.16</v>
      </c>
      <c r="AH99" s="8">
        <f t="shared" si="4"/>
        <v>8080.6236159999999</v>
      </c>
      <c r="AI99" s="8">
        <f t="shared" si="5"/>
        <v>564.463616</v>
      </c>
      <c r="AJ99" s="8">
        <f t="shared" si="6"/>
        <v>7922.7842559999999</v>
      </c>
      <c r="AK99" s="8">
        <f t="shared" si="7"/>
        <v>406.62425600000006</v>
      </c>
    </row>
    <row r="100" spans="1:37" x14ac:dyDescent="0.3">
      <c r="A100" s="1">
        <v>108</v>
      </c>
      <c r="B100" s="2" t="s">
        <v>764</v>
      </c>
      <c r="C100" s="2" t="s">
        <v>100</v>
      </c>
      <c r="D100" s="2" t="s">
        <v>101</v>
      </c>
      <c r="E100" s="1">
        <v>1</v>
      </c>
      <c r="F100" s="2" t="s">
        <v>765</v>
      </c>
      <c r="G100" s="2" t="s">
        <v>332</v>
      </c>
      <c r="H100" s="2" t="s">
        <v>31</v>
      </c>
      <c r="I100" s="2" t="s">
        <v>664</v>
      </c>
      <c r="J100" s="2" t="s">
        <v>314</v>
      </c>
      <c r="K100" s="10" t="s">
        <v>2829</v>
      </c>
      <c r="L100" s="2" t="s">
        <v>766</v>
      </c>
      <c r="M100" s="2" t="s">
        <v>767</v>
      </c>
      <c r="N100" s="2" t="s">
        <v>31</v>
      </c>
      <c r="O100" s="2" t="s">
        <v>31</v>
      </c>
      <c r="P100" s="2" t="s">
        <v>768</v>
      </c>
      <c r="Q100" s="2" t="s">
        <v>59</v>
      </c>
      <c r="R100" s="2" t="s">
        <v>48</v>
      </c>
      <c r="S100" s="2" t="s">
        <v>31</v>
      </c>
      <c r="T100" s="2" t="s">
        <v>60</v>
      </c>
      <c r="U100" s="2">
        <v>0</v>
      </c>
      <c r="V100" s="10">
        <v>1910</v>
      </c>
      <c r="W100" s="10">
        <v>1580</v>
      </c>
      <c r="X100" s="11">
        <v>0</v>
      </c>
      <c r="Y100" s="11">
        <v>1</v>
      </c>
      <c r="Z100" s="2" t="s">
        <v>31</v>
      </c>
      <c r="AA100" s="2" t="s">
        <v>769</v>
      </c>
      <c r="AB100" s="3">
        <v>41176</v>
      </c>
      <c r="AC100" s="2">
        <v>10</v>
      </c>
      <c r="AD100" s="2" t="s">
        <v>107</v>
      </c>
      <c r="AE100" s="2">
        <v>33.33</v>
      </c>
      <c r="AF100" s="4">
        <v>1062700</v>
      </c>
      <c r="AG100" s="8">
        <v>7247.11</v>
      </c>
      <c r="AH100" s="8">
        <f t="shared" si="4"/>
        <v>7791.367960999999</v>
      </c>
      <c r="AI100" s="8">
        <f t="shared" si="5"/>
        <v>544.25796099999934</v>
      </c>
      <c r="AJ100" s="8">
        <f t="shared" si="6"/>
        <v>7639.1786510000002</v>
      </c>
      <c r="AK100" s="8">
        <f t="shared" si="7"/>
        <v>392.0686510000005</v>
      </c>
    </row>
    <row r="101" spans="1:37" x14ac:dyDescent="0.3">
      <c r="A101" s="1">
        <v>109</v>
      </c>
      <c r="B101" s="2" t="s">
        <v>770</v>
      </c>
      <c r="C101" s="2" t="s">
        <v>100</v>
      </c>
      <c r="D101" s="2" t="s">
        <v>101</v>
      </c>
      <c r="E101" s="1">
        <v>1</v>
      </c>
      <c r="F101" s="2" t="s">
        <v>771</v>
      </c>
      <c r="G101" s="2" t="s">
        <v>332</v>
      </c>
      <c r="H101" s="2" t="s">
        <v>31</v>
      </c>
      <c r="I101" s="2" t="s">
        <v>664</v>
      </c>
      <c r="J101" s="2" t="s">
        <v>322</v>
      </c>
      <c r="K101" s="10" t="s">
        <v>2829</v>
      </c>
      <c r="L101" s="2" t="s">
        <v>772</v>
      </c>
      <c r="M101" s="2" t="s">
        <v>773</v>
      </c>
      <c r="N101" s="2" t="s">
        <v>31</v>
      </c>
      <c r="O101" s="2" t="s">
        <v>31</v>
      </c>
      <c r="P101" s="2" t="s">
        <v>774</v>
      </c>
      <c r="Q101" s="2" t="s">
        <v>59</v>
      </c>
      <c r="R101" s="2" t="s">
        <v>48</v>
      </c>
      <c r="S101" s="2" t="s">
        <v>31</v>
      </c>
      <c r="T101" s="2" t="s">
        <v>60</v>
      </c>
      <c r="U101" s="2">
        <v>0</v>
      </c>
      <c r="V101" s="10">
        <v>1910</v>
      </c>
      <c r="W101" s="10">
        <v>1580</v>
      </c>
      <c r="X101" s="11">
        <v>0</v>
      </c>
      <c r="Y101" s="11">
        <v>1</v>
      </c>
      <c r="Z101" s="2" t="s">
        <v>31</v>
      </c>
      <c r="AA101" s="2" t="s">
        <v>775</v>
      </c>
      <c r="AB101" s="3">
        <v>45700</v>
      </c>
      <c r="AC101" s="2">
        <v>1</v>
      </c>
      <c r="AD101" s="2" t="s">
        <v>107</v>
      </c>
      <c r="AE101" s="2">
        <v>33.33</v>
      </c>
      <c r="AF101" s="4">
        <v>1042400</v>
      </c>
      <c r="AG101" s="8">
        <v>7039.24</v>
      </c>
      <c r="AH101" s="8">
        <f t="shared" si="4"/>
        <v>7567.8869239999995</v>
      </c>
      <c r="AI101" s="8">
        <f t="shared" si="5"/>
        <v>528.64692399999967</v>
      </c>
      <c r="AJ101" s="8">
        <f t="shared" si="6"/>
        <v>7420.0628839999999</v>
      </c>
      <c r="AK101" s="8">
        <f t="shared" si="7"/>
        <v>380.82288400000016</v>
      </c>
    </row>
    <row r="102" spans="1:37" x14ac:dyDescent="0.3">
      <c r="A102" s="1">
        <v>110</v>
      </c>
      <c r="B102" s="2" t="s">
        <v>776</v>
      </c>
      <c r="C102" s="2" t="s">
        <v>100</v>
      </c>
      <c r="D102" s="2" t="s">
        <v>101</v>
      </c>
      <c r="E102" s="1">
        <v>1</v>
      </c>
      <c r="F102" s="2" t="s">
        <v>777</v>
      </c>
      <c r="G102" s="2" t="s">
        <v>332</v>
      </c>
      <c r="H102" s="2" t="s">
        <v>31</v>
      </c>
      <c r="I102" s="2" t="s">
        <v>664</v>
      </c>
      <c r="J102" s="2" t="s">
        <v>299</v>
      </c>
      <c r="K102" s="10" t="s">
        <v>2829</v>
      </c>
      <c r="L102" s="2" t="s">
        <v>778</v>
      </c>
      <c r="M102" s="2" t="s">
        <v>779</v>
      </c>
      <c r="N102" s="2" t="s">
        <v>31</v>
      </c>
      <c r="O102" s="2" t="s">
        <v>31</v>
      </c>
      <c r="P102" s="2" t="s">
        <v>780</v>
      </c>
      <c r="Q102" s="2" t="s">
        <v>59</v>
      </c>
      <c r="R102" s="2" t="s">
        <v>48</v>
      </c>
      <c r="S102" s="2" t="s">
        <v>31</v>
      </c>
      <c r="T102" s="2" t="s">
        <v>60</v>
      </c>
      <c r="U102" s="2">
        <v>0</v>
      </c>
      <c r="V102" s="10">
        <v>1910</v>
      </c>
      <c r="W102" s="10">
        <v>1450</v>
      </c>
      <c r="X102" s="11">
        <v>0</v>
      </c>
      <c r="Y102" s="11">
        <v>1</v>
      </c>
      <c r="Z102" s="2" t="s">
        <v>31</v>
      </c>
      <c r="AA102" s="2" t="s">
        <v>781</v>
      </c>
      <c r="AB102" s="3">
        <v>44460</v>
      </c>
      <c r="AC102" s="2">
        <v>1105501</v>
      </c>
      <c r="AD102" s="2" t="s">
        <v>107</v>
      </c>
      <c r="AE102" s="2">
        <v>33.33</v>
      </c>
      <c r="AF102" s="4">
        <v>1019900</v>
      </c>
      <c r="AG102" s="8">
        <v>6808.84</v>
      </c>
      <c r="AH102" s="8">
        <f t="shared" si="4"/>
        <v>7320.183884</v>
      </c>
      <c r="AI102" s="8">
        <f t="shared" si="5"/>
        <v>511.34388399999989</v>
      </c>
      <c r="AJ102" s="8">
        <f t="shared" si="6"/>
        <v>7177.1982440000002</v>
      </c>
      <c r="AK102" s="8">
        <f t="shared" si="7"/>
        <v>368.35824400000001</v>
      </c>
    </row>
    <row r="103" spans="1:37" x14ac:dyDescent="0.3">
      <c r="A103" s="1">
        <v>112</v>
      </c>
      <c r="B103" s="2" t="s">
        <v>782</v>
      </c>
      <c r="C103" s="2" t="s">
        <v>100</v>
      </c>
      <c r="D103" s="2" t="s">
        <v>101</v>
      </c>
      <c r="E103" s="1">
        <v>1</v>
      </c>
      <c r="F103" s="2" t="s">
        <v>783</v>
      </c>
      <c r="G103" s="2" t="s">
        <v>314</v>
      </c>
      <c r="H103" s="2" t="s">
        <v>31</v>
      </c>
      <c r="I103" s="2" t="s">
        <v>664</v>
      </c>
      <c r="J103" s="2" t="s">
        <v>314</v>
      </c>
      <c r="K103" s="10" t="s">
        <v>2830</v>
      </c>
      <c r="L103" s="2" t="s">
        <v>784</v>
      </c>
      <c r="M103" s="2" t="s">
        <v>785</v>
      </c>
      <c r="N103" s="2" t="s">
        <v>31</v>
      </c>
      <c r="O103" s="2" t="s">
        <v>31</v>
      </c>
      <c r="P103" s="2" t="s">
        <v>786</v>
      </c>
      <c r="Q103" s="2" t="s">
        <v>59</v>
      </c>
      <c r="R103" s="2" t="s">
        <v>48</v>
      </c>
      <c r="S103" s="2" t="s">
        <v>31</v>
      </c>
      <c r="T103" s="2" t="s">
        <v>60</v>
      </c>
      <c r="U103" s="2">
        <v>0</v>
      </c>
      <c r="V103" s="10">
        <v>1910</v>
      </c>
      <c r="W103" s="10">
        <v>1090</v>
      </c>
      <c r="X103" s="11">
        <v>0</v>
      </c>
      <c r="Y103" s="11">
        <v>1</v>
      </c>
      <c r="Z103" s="2" t="s">
        <v>31</v>
      </c>
      <c r="AA103" s="2" t="s">
        <v>787</v>
      </c>
      <c r="AB103" s="3">
        <v>30271</v>
      </c>
      <c r="AC103" s="2">
        <v>32000</v>
      </c>
      <c r="AD103" s="2" t="s">
        <v>107</v>
      </c>
      <c r="AE103" s="2">
        <v>16</v>
      </c>
      <c r="AF103" s="4">
        <v>710700</v>
      </c>
      <c r="AG103" s="8">
        <v>3642.63</v>
      </c>
      <c r="AH103" s="8">
        <f t="shared" si="4"/>
        <v>3916.1915129999998</v>
      </c>
      <c r="AI103" s="8">
        <f t="shared" si="5"/>
        <v>273.56151299999965</v>
      </c>
      <c r="AJ103" s="8">
        <f t="shared" si="6"/>
        <v>3839.6962830000002</v>
      </c>
      <c r="AK103" s="8">
        <f t="shared" si="7"/>
        <v>197.06628300000011</v>
      </c>
    </row>
    <row r="104" spans="1:37" x14ac:dyDescent="0.3">
      <c r="A104" s="1">
        <v>113</v>
      </c>
      <c r="B104" s="2" t="s">
        <v>788</v>
      </c>
      <c r="C104" s="2" t="s">
        <v>100</v>
      </c>
      <c r="D104" s="2" t="s">
        <v>101</v>
      </c>
      <c r="E104" s="1">
        <v>1</v>
      </c>
      <c r="F104" s="2" t="s">
        <v>789</v>
      </c>
      <c r="G104" s="2" t="s">
        <v>314</v>
      </c>
      <c r="H104" s="2" t="s">
        <v>31</v>
      </c>
      <c r="I104" s="2" t="s">
        <v>664</v>
      </c>
      <c r="J104" s="2" t="s">
        <v>322</v>
      </c>
      <c r="K104" s="10" t="s">
        <v>2830</v>
      </c>
      <c r="L104" s="2" t="s">
        <v>790</v>
      </c>
      <c r="M104" s="2" t="s">
        <v>791</v>
      </c>
      <c r="N104" s="2" t="s">
        <v>31</v>
      </c>
      <c r="O104" s="2" t="s">
        <v>31</v>
      </c>
      <c r="P104" s="2" t="s">
        <v>792</v>
      </c>
      <c r="Q104" s="2" t="s">
        <v>47</v>
      </c>
      <c r="R104" s="2" t="s">
        <v>48</v>
      </c>
      <c r="S104" s="2" t="s">
        <v>31</v>
      </c>
      <c r="T104" s="2" t="s">
        <v>49</v>
      </c>
      <c r="U104" s="2">
        <v>0</v>
      </c>
      <c r="V104" s="10">
        <v>1910</v>
      </c>
      <c r="W104" s="10">
        <v>978</v>
      </c>
      <c r="X104" s="11">
        <v>0</v>
      </c>
      <c r="Y104" s="11">
        <v>1</v>
      </c>
      <c r="Z104" s="2" t="s">
        <v>31</v>
      </c>
      <c r="AA104" s="2" t="s">
        <v>793</v>
      </c>
      <c r="AB104" s="3">
        <v>36130</v>
      </c>
      <c r="AC104" s="2">
        <v>124000</v>
      </c>
      <c r="AD104" s="2" t="s">
        <v>39</v>
      </c>
      <c r="AE104" s="2">
        <v>16</v>
      </c>
      <c r="AF104" s="4">
        <v>663100</v>
      </c>
      <c r="AG104" s="8">
        <v>6790.14</v>
      </c>
      <c r="AH104" s="8">
        <f t="shared" si="4"/>
        <v>7300.079514</v>
      </c>
      <c r="AI104" s="8">
        <f t="shared" si="5"/>
        <v>509.93951399999969</v>
      </c>
      <c r="AJ104" s="8">
        <f t="shared" si="6"/>
        <v>7157.4865740000005</v>
      </c>
      <c r="AK104" s="8">
        <f t="shared" si="7"/>
        <v>367.34657400000015</v>
      </c>
    </row>
    <row r="105" spans="1:37" x14ac:dyDescent="0.3">
      <c r="A105" s="1">
        <v>114</v>
      </c>
      <c r="B105" s="2" t="s">
        <v>794</v>
      </c>
      <c r="C105" s="2" t="s">
        <v>100</v>
      </c>
      <c r="D105" s="2" t="s">
        <v>101</v>
      </c>
      <c r="E105" s="1">
        <v>1</v>
      </c>
      <c r="F105" s="2" t="s">
        <v>795</v>
      </c>
      <c r="G105" s="2" t="s">
        <v>314</v>
      </c>
      <c r="H105" s="2" t="s">
        <v>31</v>
      </c>
      <c r="I105" s="2" t="s">
        <v>664</v>
      </c>
      <c r="J105" s="2" t="s">
        <v>332</v>
      </c>
      <c r="K105" s="10" t="s">
        <v>2830</v>
      </c>
      <c r="L105" s="2" t="s">
        <v>796</v>
      </c>
      <c r="M105" s="2" t="s">
        <v>797</v>
      </c>
      <c r="N105" s="2" t="s">
        <v>31</v>
      </c>
      <c r="O105" s="2" t="s">
        <v>31</v>
      </c>
      <c r="P105" s="2" t="s">
        <v>798</v>
      </c>
      <c r="Q105" s="2" t="s">
        <v>59</v>
      </c>
      <c r="R105" s="2" t="s">
        <v>48</v>
      </c>
      <c r="S105" s="2" t="s">
        <v>31</v>
      </c>
      <c r="T105" s="2" t="s">
        <v>60</v>
      </c>
      <c r="U105" s="2">
        <v>0</v>
      </c>
      <c r="V105" s="10">
        <v>1910</v>
      </c>
      <c r="W105" s="10">
        <v>1086</v>
      </c>
      <c r="X105" s="11">
        <v>0</v>
      </c>
      <c r="Y105" s="11">
        <v>1</v>
      </c>
      <c r="Z105" s="2" t="s">
        <v>31</v>
      </c>
      <c r="AA105" s="2" t="s">
        <v>799</v>
      </c>
      <c r="AB105" s="3">
        <v>43998</v>
      </c>
      <c r="AC105" s="2">
        <v>130000</v>
      </c>
      <c r="AD105" s="2" t="s">
        <v>107</v>
      </c>
      <c r="AE105" s="2">
        <v>16</v>
      </c>
      <c r="AF105" s="4">
        <v>814300</v>
      </c>
      <c r="AG105" s="8">
        <v>4703.5</v>
      </c>
      <c r="AH105" s="8">
        <f t="shared" si="4"/>
        <v>5056.7328499999994</v>
      </c>
      <c r="AI105" s="8">
        <f t="shared" si="5"/>
        <v>353.23284999999942</v>
      </c>
      <c r="AJ105" s="8">
        <f t="shared" si="6"/>
        <v>4957.9593500000001</v>
      </c>
      <c r="AK105" s="8">
        <f t="shared" si="7"/>
        <v>254.45935000000009</v>
      </c>
    </row>
    <row r="106" spans="1:37" x14ac:dyDescent="0.3">
      <c r="A106" s="1">
        <v>115</v>
      </c>
      <c r="B106" s="2" t="s">
        <v>800</v>
      </c>
      <c r="C106" s="2" t="s">
        <v>100</v>
      </c>
      <c r="D106" s="2" t="s">
        <v>101</v>
      </c>
      <c r="E106" s="1">
        <v>1</v>
      </c>
      <c r="F106" s="2" t="s">
        <v>801</v>
      </c>
      <c r="G106" s="2" t="s">
        <v>314</v>
      </c>
      <c r="H106" s="2" t="s">
        <v>31</v>
      </c>
      <c r="I106" s="2" t="s">
        <v>664</v>
      </c>
      <c r="J106" s="2" t="s">
        <v>338</v>
      </c>
      <c r="K106" s="10" t="s">
        <v>2830</v>
      </c>
      <c r="L106" s="2" t="s">
        <v>802</v>
      </c>
      <c r="M106" s="2" t="s">
        <v>803</v>
      </c>
      <c r="N106" s="2" t="s">
        <v>31</v>
      </c>
      <c r="O106" s="2" t="s">
        <v>31</v>
      </c>
      <c r="P106" s="2" t="s">
        <v>804</v>
      </c>
      <c r="Q106" s="2" t="s">
        <v>59</v>
      </c>
      <c r="R106" s="2" t="s">
        <v>48</v>
      </c>
      <c r="S106" s="2" t="s">
        <v>31</v>
      </c>
      <c r="T106" s="2" t="s">
        <v>60</v>
      </c>
      <c r="U106" s="2">
        <v>0</v>
      </c>
      <c r="V106" s="10">
        <v>1910</v>
      </c>
      <c r="W106" s="10">
        <v>978</v>
      </c>
      <c r="X106" s="11">
        <v>0</v>
      </c>
      <c r="Y106" s="11">
        <v>1</v>
      </c>
      <c r="Z106" s="2" t="s">
        <v>31</v>
      </c>
      <c r="AA106" s="2" t="s">
        <v>805</v>
      </c>
      <c r="AB106" s="3">
        <v>44215</v>
      </c>
      <c r="AC106" s="2">
        <v>775000</v>
      </c>
      <c r="AD106" s="2" t="s">
        <v>39</v>
      </c>
      <c r="AE106" s="2">
        <v>16</v>
      </c>
      <c r="AF106" s="4">
        <v>778500</v>
      </c>
      <c r="AG106" s="8">
        <v>7971.84</v>
      </c>
      <c r="AH106" s="8">
        <f t="shared" si="4"/>
        <v>8570.5251840000001</v>
      </c>
      <c r="AI106" s="8">
        <f t="shared" si="5"/>
        <v>598.68518399999994</v>
      </c>
      <c r="AJ106" s="8">
        <f t="shared" si="6"/>
        <v>8403.1165440000004</v>
      </c>
      <c r="AK106" s="8">
        <f t="shared" si="7"/>
        <v>431.27654400000029</v>
      </c>
    </row>
    <row r="107" spans="1:37" x14ac:dyDescent="0.3">
      <c r="A107" s="1">
        <v>116</v>
      </c>
      <c r="B107" s="2" t="s">
        <v>806</v>
      </c>
      <c r="C107" s="2" t="s">
        <v>100</v>
      </c>
      <c r="D107" s="2" t="s">
        <v>101</v>
      </c>
      <c r="E107" s="1">
        <v>1</v>
      </c>
      <c r="F107" s="2" t="s">
        <v>807</v>
      </c>
      <c r="G107" s="2" t="s">
        <v>314</v>
      </c>
      <c r="H107" s="2" t="s">
        <v>31</v>
      </c>
      <c r="I107" s="2" t="s">
        <v>664</v>
      </c>
      <c r="J107" s="2" t="s">
        <v>752</v>
      </c>
      <c r="K107" s="10" t="s">
        <v>2830</v>
      </c>
      <c r="L107" s="2" t="s">
        <v>808</v>
      </c>
      <c r="M107" s="2" t="s">
        <v>346</v>
      </c>
      <c r="N107" s="2" t="s">
        <v>31</v>
      </c>
      <c r="O107" s="2" t="s">
        <v>31</v>
      </c>
      <c r="P107" s="2" t="s">
        <v>809</v>
      </c>
      <c r="Q107" s="2" t="s">
        <v>59</v>
      </c>
      <c r="R107" s="2" t="s">
        <v>48</v>
      </c>
      <c r="S107" s="2" t="s">
        <v>31</v>
      </c>
      <c r="T107" s="2" t="s">
        <v>60</v>
      </c>
      <c r="U107" s="2">
        <v>0</v>
      </c>
      <c r="V107" s="10">
        <v>1910</v>
      </c>
      <c r="W107" s="10">
        <v>1086</v>
      </c>
      <c r="X107" s="11">
        <v>0</v>
      </c>
      <c r="Y107" s="11">
        <v>1</v>
      </c>
      <c r="Z107" s="2" t="s">
        <v>31</v>
      </c>
      <c r="AA107" s="2" t="s">
        <v>810</v>
      </c>
      <c r="AB107" s="3">
        <v>42373</v>
      </c>
      <c r="AC107" s="2">
        <v>570000</v>
      </c>
      <c r="AD107" s="2" t="s">
        <v>39</v>
      </c>
      <c r="AE107" s="2">
        <v>16</v>
      </c>
      <c r="AF107" s="4">
        <v>824100</v>
      </c>
      <c r="AG107" s="8">
        <v>8438.7800000000007</v>
      </c>
      <c r="AH107" s="8">
        <f t="shared" si="4"/>
        <v>9072.5323779999999</v>
      </c>
      <c r="AI107" s="8">
        <f t="shared" si="5"/>
        <v>633.75237799999923</v>
      </c>
      <c r="AJ107" s="8">
        <f t="shared" si="6"/>
        <v>8895.3179980000004</v>
      </c>
      <c r="AK107" s="8">
        <f t="shared" si="7"/>
        <v>456.53799799999979</v>
      </c>
    </row>
    <row r="108" spans="1:37" x14ac:dyDescent="0.3">
      <c r="A108" s="1">
        <v>117</v>
      </c>
      <c r="B108" s="2" t="s">
        <v>811</v>
      </c>
      <c r="C108" s="2" t="s">
        <v>100</v>
      </c>
      <c r="D108" s="2" t="s">
        <v>101</v>
      </c>
      <c r="E108" s="1">
        <v>1</v>
      </c>
      <c r="F108" s="2" t="s">
        <v>812</v>
      </c>
      <c r="G108" s="2" t="s">
        <v>314</v>
      </c>
      <c r="H108" s="2" t="s">
        <v>31</v>
      </c>
      <c r="I108" s="2" t="s">
        <v>664</v>
      </c>
      <c r="J108" s="2" t="s">
        <v>813</v>
      </c>
      <c r="K108" s="10" t="s">
        <v>2830</v>
      </c>
      <c r="L108" s="2" t="s">
        <v>814</v>
      </c>
      <c r="M108" s="2" t="s">
        <v>815</v>
      </c>
      <c r="N108" s="2" t="s">
        <v>31</v>
      </c>
      <c r="O108" s="2" t="s">
        <v>31</v>
      </c>
      <c r="P108" s="2" t="s">
        <v>816</v>
      </c>
      <c r="Q108" s="2" t="s">
        <v>59</v>
      </c>
      <c r="R108" s="2" t="s">
        <v>48</v>
      </c>
      <c r="S108" s="2" t="s">
        <v>31</v>
      </c>
      <c r="T108" s="2" t="s">
        <v>242</v>
      </c>
      <c r="U108" s="2">
        <v>0</v>
      </c>
      <c r="V108" s="10">
        <v>1910</v>
      </c>
      <c r="W108" s="10">
        <v>709</v>
      </c>
      <c r="X108" s="11">
        <v>0</v>
      </c>
      <c r="Y108" s="11">
        <v>1</v>
      </c>
      <c r="Z108" s="2" t="s">
        <v>31</v>
      </c>
      <c r="AA108" s="2" t="s">
        <v>817</v>
      </c>
      <c r="AB108" s="3">
        <v>30111</v>
      </c>
      <c r="AC108" s="2">
        <v>22000</v>
      </c>
      <c r="AD108" s="2" t="s">
        <v>39</v>
      </c>
      <c r="AE108" s="2">
        <v>6</v>
      </c>
      <c r="AF108" s="4">
        <v>384800</v>
      </c>
      <c r="AG108" s="8">
        <v>3940.35</v>
      </c>
      <c r="AH108" s="8">
        <f t="shared" si="4"/>
        <v>4236.2702849999996</v>
      </c>
      <c r="AI108" s="8">
        <f t="shared" si="5"/>
        <v>295.92028499999969</v>
      </c>
      <c r="AJ108" s="8">
        <f t="shared" si="6"/>
        <v>4153.522935</v>
      </c>
      <c r="AK108" s="8">
        <f t="shared" si="7"/>
        <v>213.17293500000005</v>
      </c>
    </row>
    <row r="109" spans="1:37" x14ac:dyDescent="0.3">
      <c r="A109" s="1">
        <v>118</v>
      </c>
      <c r="B109" s="2" t="s">
        <v>818</v>
      </c>
      <c r="C109" s="2" t="s">
        <v>100</v>
      </c>
      <c r="D109" s="2" t="s">
        <v>101</v>
      </c>
      <c r="E109" s="1">
        <v>1</v>
      </c>
      <c r="F109" s="2" t="s">
        <v>819</v>
      </c>
      <c r="G109" s="2" t="s">
        <v>314</v>
      </c>
      <c r="H109" s="2" t="s">
        <v>31</v>
      </c>
      <c r="I109" s="2" t="s">
        <v>664</v>
      </c>
      <c r="J109" s="2" t="s">
        <v>299</v>
      </c>
      <c r="K109" s="10" t="s">
        <v>2830</v>
      </c>
      <c r="L109" s="2" t="s">
        <v>820</v>
      </c>
      <c r="M109" s="2" t="s">
        <v>821</v>
      </c>
      <c r="N109" s="2" t="s">
        <v>822</v>
      </c>
      <c r="O109" s="2" t="s">
        <v>823</v>
      </c>
      <c r="P109" s="2" t="s">
        <v>824</v>
      </c>
      <c r="Q109" s="2" t="s">
        <v>825</v>
      </c>
      <c r="R109" s="2" t="s">
        <v>720</v>
      </c>
      <c r="S109" s="2" t="s">
        <v>31</v>
      </c>
      <c r="T109" s="2" t="s">
        <v>826</v>
      </c>
      <c r="U109" s="2">
        <v>0</v>
      </c>
      <c r="V109" s="10">
        <v>1910</v>
      </c>
      <c r="W109" s="10">
        <v>850</v>
      </c>
      <c r="X109" s="11">
        <v>0</v>
      </c>
      <c r="Y109" s="11">
        <v>1</v>
      </c>
      <c r="Z109" s="2" t="s">
        <v>31</v>
      </c>
      <c r="AA109" s="2" t="s">
        <v>827</v>
      </c>
      <c r="AB109" s="3">
        <v>42559</v>
      </c>
      <c r="AC109" s="2">
        <v>550000</v>
      </c>
      <c r="AD109" s="2" t="s">
        <v>39</v>
      </c>
      <c r="AE109" s="2">
        <v>14</v>
      </c>
      <c r="AF109" s="4">
        <v>636800</v>
      </c>
      <c r="AG109" s="8">
        <v>6520.83</v>
      </c>
      <c r="AH109" s="8">
        <f t="shared" si="4"/>
        <v>7010.5443329999998</v>
      </c>
      <c r="AI109" s="8">
        <f t="shared" si="5"/>
        <v>489.7143329999999</v>
      </c>
      <c r="AJ109" s="8">
        <f t="shared" si="6"/>
        <v>6873.6069029999999</v>
      </c>
      <c r="AK109" s="8">
        <f t="shared" si="7"/>
        <v>352.77690299999995</v>
      </c>
    </row>
    <row r="110" spans="1:37" x14ac:dyDescent="0.3">
      <c r="A110" s="1">
        <v>119</v>
      </c>
      <c r="B110" s="2" t="s">
        <v>828</v>
      </c>
      <c r="C110" s="2" t="s">
        <v>471</v>
      </c>
      <c r="D110" s="2" t="s">
        <v>28</v>
      </c>
      <c r="E110" s="1">
        <v>7</v>
      </c>
      <c r="F110" s="2" t="s">
        <v>829</v>
      </c>
      <c r="G110" s="2" t="s">
        <v>830</v>
      </c>
      <c r="H110" s="2" t="s">
        <v>31</v>
      </c>
      <c r="I110" s="2" t="s">
        <v>492</v>
      </c>
      <c r="J110" s="2" t="s">
        <v>31</v>
      </c>
      <c r="K110" s="10" t="s">
        <v>31</v>
      </c>
      <c r="L110" s="2" t="s">
        <v>831</v>
      </c>
      <c r="M110" s="2" t="s">
        <v>832</v>
      </c>
      <c r="N110" s="2" t="s">
        <v>31</v>
      </c>
      <c r="O110" s="2" t="s">
        <v>31</v>
      </c>
      <c r="P110" s="2" t="s">
        <v>833</v>
      </c>
      <c r="Q110" s="2" t="s">
        <v>47</v>
      </c>
      <c r="R110" s="2" t="s">
        <v>48</v>
      </c>
      <c r="S110" s="2" t="s">
        <v>31</v>
      </c>
      <c r="T110" s="2" t="s">
        <v>49</v>
      </c>
      <c r="U110" s="2">
        <v>3408</v>
      </c>
      <c r="V110" s="10">
        <v>1905</v>
      </c>
      <c r="W110" s="10">
        <v>7952</v>
      </c>
      <c r="X110" s="11">
        <v>0</v>
      </c>
      <c r="Y110" s="11">
        <v>7</v>
      </c>
      <c r="Z110" s="2" t="s">
        <v>447</v>
      </c>
      <c r="AA110" s="2" t="s">
        <v>834</v>
      </c>
      <c r="AB110" s="3">
        <v>40774</v>
      </c>
      <c r="AC110" s="2">
        <v>100</v>
      </c>
      <c r="AD110" s="2" t="s">
        <v>39</v>
      </c>
      <c r="AE110" s="2">
        <v>0</v>
      </c>
      <c r="AF110" s="4">
        <v>4078800</v>
      </c>
      <c r="AG110" s="8">
        <v>41766.910000000003</v>
      </c>
      <c r="AH110" s="8">
        <f t="shared" si="4"/>
        <v>44903.604941000005</v>
      </c>
      <c r="AI110" s="8">
        <f t="shared" si="5"/>
        <v>3136.6949410000016</v>
      </c>
      <c r="AJ110" s="8">
        <f t="shared" si="6"/>
        <v>44026.499831000008</v>
      </c>
      <c r="AK110" s="8">
        <f t="shared" si="7"/>
        <v>2259.5898310000048</v>
      </c>
    </row>
    <row r="111" spans="1:37" x14ac:dyDescent="0.3">
      <c r="A111" s="1">
        <v>121</v>
      </c>
      <c r="B111" s="2" t="s">
        <v>835</v>
      </c>
      <c r="C111" s="2" t="s">
        <v>100</v>
      </c>
      <c r="D111" s="2" t="s">
        <v>101</v>
      </c>
      <c r="E111" s="1">
        <v>1</v>
      </c>
      <c r="F111" s="2" t="s">
        <v>836</v>
      </c>
      <c r="G111" s="2" t="s">
        <v>373</v>
      </c>
      <c r="H111" s="2" t="s">
        <v>31</v>
      </c>
      <c r="I111" s="2" t="s">
        <v>492</v>
      </c>
      <c r="J111" s="2" t="s">
        <v>344</v>
      </c>
      <c r="K111" s="10" t="s">
        <v>2831</v>
      </c>
      <c r="L111" s="2" t="s">
        <v>837</v>
      </c>
      <c r="M111" s="2" t="s">
        <v>838</v>
      </c>
      <c r="N111" s="2" t="s">
        <v>31</v>
      </c>
      <c r="O111" s="2" t="s">
        <v>31</v>
      </c>
      <c r="P111" s="2" t="s">
        <v>839</v>
      </c>
      <c r="Q111" s="2" t="s">
        <v>59</v>
      </c>
      <c r="R111" s="2" t="s">
        <v>48</v>
      </c>
      <c r="S111" s="2" t="s">
        <v>31</v>
      </c>
      <c r="T111" s="2" t="s">
        <v>60</v>
      </c>
      <c r="U111" s="2">
        <v>0</v>
      </c>
      <c r="V111" s="10">
        <v>1910</v>
      </c>
      <c r="W111" s="10">
        <v>2063</v>
      </c>
      <c r="X111" s="11">
        <v>0</v>
      </c>
      <c r="Y111" s="11">
        <v>1</v>
      </c>
      <c r="Z111" s="2" t="s">
        <v>31</v>
      </c>
      <c r="AA111" s="2" t="s">
        <v>840</v>
      </c>
      <c r="AB111" s="3">
        <v>38189</v>
      </c>
      <c r="AC111" s="2">
        <v>1</v>
      </c>
      <c r="AD111" s="2" t="s">
        <v>107</v>
      </c>
      <c r="AE111" s="2">
        <v>33.799999999999997</v>
      </c>
      <c r="AF111" s="4">
        <v>1424400</v>
      </c>
      <c r="AG111" s="8">
        <v>10950.92</v>
      </c>
      <c r="AH111" s="8">
        <f t="shared" si="4"/>
        <v>11773.334091999999</v>
      </c>
      <c r="AI111" s="8">
        <f t="shared" si="5"/>
        <v>822.41409199999907</v>
      </c>
      <c r="AJ111" s="8">
        <f t="shared" si="6"/>
        <v>11543.364772000001</v>
      </c>
      <c r="AK111" s="8">
        <f t="shared" si="7"/>
        <v>592.44477200000074</v>
      </c>
    </row>
    <row r="112" spans="1:37" x14ac:dyDescent="0.3">
      <c r="A112" s="1">
        <v>122</v>
      </c>
      <c r="B112" s="2" t="s">
        <v>841</v>
      </c>
      <c r="C112" s="2" t="s">
        <v>100</v>
      </c>
      <c r="D112" s="2" t="s">
        <v>101</v>
      </c>
      <c r="E112" s="1">
        <v>1</v>
      </c>
      <c r="F112" s="2" t="s">
        <v>842</v>
      </c>
      <c r="G112" s="2" t="s">
        <v>373</v>
      </c>
      <c r="H112" s="2" t="s">
        <v>31</v>
      </c>
      <c r="I112" s="2" t="s">
        <v>492</v>
      </c>
      <c r="J112" s="2" t="s">
        <v>843</v>
      </c>
      <c r="K112" s="10" t="s">
        <v>2831</v>
      </c>
      <c r="L112" s="2" t="s">
        <v>844</v>
      </c>
      <c r="M112" s="2" t="s">
        <v>845</v>
      </c>
      <c r="N112" s="2" t="s">
        <v>31</v>
      </c>
      <c r="O112" s="2" t="s">
        <v>31</v>
      </c>
      <c r="P112" s="2" t="s">
        <v>846</v>
      </c>
      <c r="Q112" s="2" t="s">
        <v>59</v>
      </c>
      <c r="R112" s="2" t="s">
        <v>48</v>
      </c>
      <c r="S112" s="2" t="s">
        <v>31</v>
      </c>
      <c r="T112" s="2" t="s">
        <v>60</v>
      </c>
      <c r="U112" s="2">
        <v>0</v>
      </c>
      <c r="V112" s="10">
        <v>1910</v>
      </c>
      <c r="W112" s="10">
        <v>2063</v>
      </c>
      <c r="X112" s="11">
        <v>0</v>
      </c>
      <c r="Y112" s="11">
        <v>1</v>
      </c>
      <c r="Z112" s="2" t="s">
        <v>31</v>
      </c>
      <c r="AA112" s="2" t="s">
        <v>847</v>
      </c>
      <c r="AB112" s="3">
        <v>43677</v>
      </c>
      <c r="AC112" s="2">
        <v>1700000</v>
      </c>
      <c r="AD112" s="2" t="s">
        <v>107</v>
      </c>
      <c r="AE112" s="2">
        <v>35.4</v>
      </c>
      <c r="AF112" s="4">
        <v>1424500</v>
      </c>
      <c r="AG112" s="8">
        <v>10951.95</v>
      </c>
      <c r="AH112" s="8">
        <f t="shared" si="4"/>
        <v>11774.441445</v>
      </c>
      <c r="AI112" s="8">
        <f t="shared" si="5"/>
        <v>822.49144499999966</v>
      </c>
      <c r="AJ112" s="8">
        <f t="shared" si="6"/>
        <v>11544.450495000001</v>
      </c>
      <c r="AK112" s="8">
        <f t="shared" si="7"/>
        <v>592.50049500000023</v>
      </c>
    </row>
    <row r="113" spans="1:37" x14ac:dyDescent="0.3">
      <c r="A113" s="1">
        <v>123</v>
      </c>
      <c r="B113" s="2" t="s">
        <v>848</v>
      </c>
      <c r="C113" s="2" t="s">
        <v>100</v>
      </c>
      <c r="D113" s="2" t="s">
        <v>101</v>
      </c>
      <c r="E113" s="1">
        <v>1</v>
      </c>
      <c r="F113" s="2" t="s">
        <v>849</v>
      </c>
      <c r="G113" s="2" t="s">
        <v>373</v>
      </c>
      <c r="H113" s="2" t="s">
        <v>31</v>
      </c>
      <c r="I113" s="2" t="s">
        <v>492</v>
      </c>
      <c r="J113" s="2" t="s">
        <v>363</v>
      </c>
      <c r="K113" s="10" t="s">
        <v>2831</v>
      </c>
      <c r="L113" s="2" t="s">
        <v>850</v>
      </c>
      <c r="M113" s="2" t="s">
        <v>851</v>
      </c>
      <c r="N113" s="2" t="s">
        <v>31</v>
      </c>
      <c r="O113" s="2" t="s">
        <v>31</v>
      </c>
      <c r="P113" s="2" t="s">
        <v>852</v>
      </c>
      <c r="Q113" s="2" t="s">
        <v>59</v>
      </c>
      <c r="R113" s="2" t="s">
        <v>48</v>
      </c>
      <c r="S113" s="2" t="s">
        <v>31</v>
      </c>
      <c r="T113" s="2" t="s">
        <v>60</v>
      </c>
      <c r="U113" s="2">
        <v>0</v>
      </c>
      <c r="V113" s="10">
        <v>1910</v>
      </c>
      <c r="W113" s="10">
        <v>1863</v>
      </c>
      <c r="X113" s="11">
        <v>0</v>
      </c>
      <c r="Y113" s="11">
        <v>1</v>
      </c>
      <c r="Z113" s="2" t="s">
        <v>31</v>
      </c>
      <c r="AA113" s="2" t="s">
        <v>853</v>
      </c>
      <c r="AB113" s="3">
        <v>40878</v>
      </c>
      <c r="AC113" s="2">
        <v>740000</v>
      </c>
      <c r="AD113" s="2" t="s">
        <v>107</v>
      </c>
      <c r="AE113" s="2">
        <v>30.8</v>
      </c>
      <c r="AF113" s="4">
        <v>1346900</v>
      </c>
      <c r="AG113" s="8">
        <v>10157.32</v>
      </c>
      <c r="AH113" s="8">
        <f t="shared" si="4"/>
        <v>10920.134731999999</v>
      </c>
      <c r="AI113" s="8">
        <f t="shared" si="5"/>
        <v>762.81473199999891</v>
      </c>
      <c r="AJ113" s="8">
        <f t="shared" si="6"/>
        <v>10706.831012000001</v>
      </c>
      <c r="AK113" s="8">
        <f t="shared" si="7"/>
        <v>549.51101200000085</v>
      </c>
    </row>
    <row r="114" spans="1:37" x14ac:dyDescent="0.3">
      <c r="A114" s="1">
        <v>124</v>
      </c>
      <c r="B114" s="2" t="s">
        <v>854</v>
      </c>
      <c r="C114" s="2" t="s">
        <v>371</v>
      </c>
      <c r="D114" s="2" t="s">
        <v>101</v>
      </c>
      <c r="E114" s="1">
        <v>1</v>
      </c>
      <c r="F114" s="2" t="s">
        <v>855</v>
      </c>
      <c r="G114" s="2" t="s">
        <v>856</v>
      </c>
      <c r="H114" s="2" t="s">
        <v>31</v>
      </c>
      <c r="I114" s="2" t="s">
        <v>409</v>
      </c>
      <c r="J114" s="2" t="s">
        <v>31</v>
      </c>
      <c r="K114" s="10" t="s">
        <v>31</v>
      </c>
      <c r="L114" s="2" t="s">
        <v>442</v>
      </c>
      <c r="M114" s="2" t="s">
        <v>31</v>
      </c>
      <c r="N114" s="2" t="s">
        <v>443</v>
      </c>
      <c r="O114" s="2" t="s">
        <v>31</v>
      </c>
      <c r="P114" s="2" t="s">
        <v>444</v>
      </c>
      <c r="Q114" s="2" t="s">
        <v>86</v>
      </c>
      <c r="R114" s="2" t="s">
        <v>48</v>
      </c>
      <c r="S114" s="2" t="s">
        <v>31</v>
      </c>
      <c r="T114" s="2" t="s">
        <v>445</v>
      </c>
      <c r="U114" s="2">
        <v>24320</v>
      </c>
      <c r="V114" s="10">
        <v>1850</v>
      </c>
      <c r="W114" s="10">
        <v>8256.20003</v>
      </c>
      <c r="X114" s="11">
        <v>0</v>
      </c>
      <c r="Y114" s="11">
        <v>1</v>
      </c>
      <c r="Z114" s="2" t="s">
        <v>380</v>
      </c>
      <c r="AA114" s="2" t="s">
        <v>857</v>
      </c>
      <c r="AB114" s="3">
        <v>34577</v>
      </c>
      <c r="AC114" s="2">
        <v>1000000</v>
      </c>
      <c r="AD114" s="2" t="s">
        <v>39</v>
      </c>
      <c r="AE114" s="2">
        <v>0</v>
      </c>
      <c r="AF114" s="4">
        <v>9825600</v>
      </c>
      <c r="AG114" s="8">
        <v>100614.14</v>
      </c>
      <c r="AH114" s="8">
        <f t="shared" si="4"/>
        <v>108170.26191399999</v>
      </c>
      <c r="AI114" s="8">
        <f t="shared" si="5"/>
        <v>7556.1219139999885</v>
      </c>
      <c r="AJ114" s="8">
        <f t="shared" si="6"/>
        <v>106057.364974</v>
      </c>
      <c r="AK114" s="8">
        <f t="shared" si="7"/>
        <v>5443.224973999997</v>
      </c>
    </row>
    <row r="115" spans="1:37" x14ac:dyDescent="0.3">
      <c r="A115" s="1">
        <v>125</v>
      </c>
      <c r="B115" s="2" t="s">
        <v>858</v>
      </c>
      <c r="C115" s="2" t="s">
        <v>371</v>
      </c>
      <c r="D115" s="2" t="s">
        <v>101</v>
      </c>
      <c r="E115" s="1">
        <v>1</v>
      </c>
      <c r="F115" s="2" t="s">
        <v>859</v>
      </c>
      <c r="G115" s="2" t="s">
        <v>860</v>
      </c>
      <c r="H115" s="2" t="s">
        <v>31</v>
      </c>
      <c r="I115" s="2" t="s">
        <v>861</v>
      </c>
      <c r="J115" s="2" t="s">
        <v>31</v>
      </c>
      <c r="K115" s="10" t="s">
        <v>31</v>
      </c>
      <c r="L115" s="2" t="s">
        <v>862</v>
      </c>
      <c r="M115" s="2" t="s">
        <v>863</v>
      </c>
      <c r="N115" s="2" t="s">
        <v>31</v>
      </c>
      <c r="O115" s="2" t="s">
        <v>31</v>
      </c>
      <c r="P115" s="2" t="s">
        <v>864</v>
      </c>
      <c r="Q115" s="2" t="s">
        <v>59</v>
      </c>
      <c r="R115" s="2" t="s">
        <v>48</v>
      </c>
      <c r="S115" s="2" t="s">
        <v>31</v>
      </c>
      <c r="T115" s="2" t="s">
        <v>60</v>
      </c>
      <c r="U115" s="2">
        <v>11543</v>
      </c>
      <c r="V115" s="10">
        <v>1915</v>
      </c>
      <c r="W115" s="10">
        <v>5585.8999599999997</v>
      </c>
      <c r="X115" s="11">
        <v>0</v>
      </c>
      <c r="Y115" s="11">
        <v>1</v>
      </c>
      <c r="Z115" s="2" t="s">
        <v>380</v>
      </c>
      <c r="AA115" s="2" t="s">
        <v>865</v>
      </c>
      <c r="AB115" s="3">
        <v>44404</v>
      </c>
      <c r="AC115" s="2">
        <v>3950000</v>
      </c>
      <c r="AD115" s="2" t="s">
        <v>107</v>
      </c>
      <c r="AE115" s="2">
        <v>0</v>
      </c>
      <c r="AF115" s="4">
        <v>5944000</v>
      </c>
      <c r="AG115" s="8">
        <v>57231.63</v>
      </c>
      <c r="AH115" s="8">
        <f t="shared" si="4"/>
        <v>61529.725412999993</v>
      </c>
      <c r="AI115" s="8">
        <f t="shared" si="5"/>
        <v>4298.0954129999955</v>
      </c>
      <c r="AJ115" s="8">
        <f t="shared" si="6"/>
        <v>60327.861183000001</v>
      </c>
      <c r="AK115" s="8">
        <f t="shared" si="7"/>
        <v>3096.2311830000035</v>
      </c>
    </row>
    <row r="116" spans="1:37" x14ac:dyDescent="0.3">
      <c r="A116" s="1">
        <v>126</v>
      </c>
      <c r="B116" s="2" t="s">
        <v>866</v>
      </c>
      <c r="C116" s="2" t="s">
        <v>371</v>
      </c>
      <c r="D116" s="2" t="s">
        <v>101</v>
      </c>
      <c r="E116" s="1">
        <v>1</v>
      </c>
      <c r="F116" s="2" t="s">
        <v>867</v>
      </c>
      <c r="G116" s="2" t="s">
        <v>868</v>
      </c>
      <c r="H116" s="2" t="s">
        <v>31</v>
      </c>
      <c r="I116" s="2" t="s">
        <v>861</v>
      </c>
      <c r="J116" s="2" t="s">
        <v>31</v>
      </c>
      <c r="K116" s="10" t="s">
        <v>31</v>
      </c>
      <c r="L116" s="2" t="s">
        <v>869</v>
      </c>
      <c r="M116" s="2" t="s">
        <v>870</v>
      </c>
      <c r="N116" s="2" t="s">
        <v>31</v>
      </c>
      <c r="O116" s="2" t="s">
        <v>31</v>
      </c>
      <c r="P116" s="2" t="s">
        <v>871</v>
      </c>
      <c r="Q116" s="2" t="s">
        <v>59</v>
      </c>
      <c r="R116" s="2" t="s">
        <v>48</v>
      </c>
      <c r="S116" s="2" t="s">
        <v>31</v>
      </c>
      <c r="T116" s="2" t="s">
        <v>60</v>
      </c>
      <c r="U116" s="2">
        <v>11150</v>
      </c>
      <c r="V116" s="10">
        <v>1905</v>
      </c>
      <c r="W116" s="10">
        <v>6708.0000300000002</v>
      </c>
      <c r="X116" s="11">
        <v>0</v>
      </c>
      <c r="Y116" s="11">
        <v>1</v>
      </c>
      <c r="Z116" s="2" t="s">
        <v>380</v>
      </c>
      <c r="AA116" s="2" t="s">
        <v>872</v>
      </c>
      <c r="AB116" s="3">
        <v>43420</v>
      </c>
      <c r="AC116" s="2">
        <v>1</v>
      </c>
      <c r="AD116" s="2" t="s">
        <v>107</v>
      </c>
      <c r="AE116" s="2">
        <v>0</v>
      </c>
      <c r="AF116" s="4">
        <v>5698600</v>
      </c>
      <c r="AG116" s="8">
        <v>54718.73</v>
      </c>
      <c r="AH116" s="8">
        <f t="shared" si="4"/>
        <v>58828.106623</v>
      </c>
      <c r="AI116" s="8">
        <f t="shared" si="5"/>
        <v>4109.3766229999965</v>
      </c>
      <c r="AJ116" s="8">
        <f t="shared" si="6"/>
        <v>57679.013293000004</v>
      </c>
      <c r="AK116" s="8">
        <f t="shared" si="7"/>
        <v>2960.2832930000004</v>
      </c>
    </row>
    <row r="117" spans="1:37" x14ac:dyDescent="0.3">
      <c r="A117" s="1">
        <v>127</v>
      </c>
      <c r="B117" s="2" t="s">
        <v>873</v>
      </c>
      <c r="C117" s="2" t="s">
        <v>371</v>
      </c>
      <c r="D117" s="2" t="s">
        <v>101</v>
      </c>
      <c r="E117" s="1">
        <v>1</v>
      </c>
      <c r="F117" s="2" t="s">
        <v>874</v>
      </c>
      <c r="G117" s="2" t="s">
        <v>875</v>
      </c>
      <c r="H117" s="2" t="s">
        <v>31</v>
      </c>
      <c r="I117" s="2" t="s">
        <v>664</v>
      </c>
      <c r="J117" s="2" t="s">
        <v>31</v>
      </c>
      <c r="K117" s="10" t="s">
        <v>31</v>
      </c>
      <c r="L117" s="2" t="s">
        <v>876</v>
      </c>
      <c r="M117" s="2" t="s">
        <v>877</v>
      </c>
      <c r="N117" s="2" t="s">
        <v>31</v>
      </c>
      <c r="O117" s="2" t="s">
        <v>31</v>
      </c>
      <c r="P117" s="2" t="s">
        <v>878</v>
      </c>
      <c r="Q117" s="2" t="s">
        <v>59</v>
      </c>
      <c r="R117" s="2" t="s">
        <v>48</v>
      </c>
      <c r="S117" s="2" t="s">
        <v>31</v>
      </c>
      <c r="T117" s="2" t="s">
        <v>60</v>
      </c>
      <c r="U117" s="2">
        <v>10266</v>
      </c>
      <c r="V117" s="10">
        <v>1901</v>
      </c>
      <c r="W117" s="10">
        <v>5828.8000199999997</v>
      </c>
      <c r="X117" s="11">
        <v>0</v>
      </c>
      <c r="Y117" s="11">
        <v>1</v>
      </c>
      <c r="Z117" s="2" t="s">
        <v>380</v>
      </c>
      <c r="AA117" s="2" t="s">
        <v>879</v>
      </c>
      <c r="AB117" s="3">
        <v>42332</v>
      </c>
      <c r="AC117" s="2">
        <v>1</v>
      </c>
      <c r="AD117" s="2" t="s">
        <v>107</v>
      </c>
      <c r="AE117" s="2">
        <v>0</v>
      </c>
      <c r="AF117" s="4">
        <v>6342400</v>
      </c>
      <c r="AG117" s="8">
        <v>61311.24</v>
      </c>
      <c r="AH117" s="8">
        <f t="shared" si="4"/>
        <v>65915.714123999991</v>
      </c>
      <c r="AI117" s="8">
        <f t="shared" si="5"/>
        <v>4604.474123999993</v>
      </c>
      <c r="AJ117" s="8">
        <f t="shared" si="6"/>
        <v>64628.178083999999</v>
      </c>
      <c r="AK117" s="8">
        <f t="shared" si="7"/>
        <v>3316.9380840000013</v>
      </c>
    </row>
    <row r="118" spans="1:37" x14ac:dyDescent="0.3">
      <c r="A118" s="1">
        <v>128</v>
      </c>
      <c r="B118" s="2" t="s">
        <v>880</v>
      </c>
      <c r="C118" s="2" t="s">
        <v>371</v>
      </c>
      <c r="D118" s="2" t="s">
        <v>101</v>
      </c>
      <c r="E118" s="1">
        <v>1</v>
      </c>
      <c r="F118" s="2" t="s">
        <v>881</v>
      </c>
      <c r="G118" s="2" t="s">
        <v>882</v>
      </c>
      <c r="H118" s="2" t="s">
        <v>31</v>
      </c>
      <c r="I118" s="2" t="s">
        <v>343</v>
      </c>
      <c r="J118" s="2" t="s">
        <v>31</v>
      </c>
      <c r="K118" s="10" t="s">
        <v>31</v>
      </c>
      <c r="L118" s="2" t="s">
        <v>883</v>
      </c>
      <c r="M118" s="2" t="s">
        <v>884</v>
      </c>
      <c r="N118" s="2" t="s">
        <v>31</v>
      </c>
      <c r="O118" s="2" t="s">
        <v>31</v>
      </c>
      <c r="P118" s="2" t="s">
        <v>885</v>
      </c>
      <c r="Q118" s="2" t="s">
        <v>886</v>
      </c>
      <c r="R118" s="2" t="s">
        <v>887</v>
      </c>
      <c r="S118" s="2" t="s">
        <v>888</v>
      </c>
      <c r="T118" s="2" t="s">
        <v>889</v>
      </c>
      <c r="U118" s="2">
        <v>11133</v>
      </c>
      <c r="V118" s="10">
        <v>1907</v>
      </c>
      <c r="W118" s="10">
        <v>6425.5500199999997</v>
      </c>
      <c r="X118" s="11">
        <v>0</v>
      </c>
      <c r="Y118" s="11">
        <v>1</v>
      </c>
      <c r="Z118" s="2" t="s">
        <v>380</v>
      </c>
      <c r="AA118" s="2" t="s">
        <v>890</v>
      </c>
      <c r="AB118" s="3">
        <v>22427</v>
      </c>
      <c r="AC118" s="2">
        <v>0</v>
      </c>
      <c r="AD118" s="2" t="s">
        <v>39</v>
      </c>
      <c r="AE118" s="2">
        <v>0</v>
      </c>
      <c r="AF118" s="4">
        <v>3126000</v>
      </c>
      <c r="AG118" s="8">
        <v>32010.240000000002</v>
      </c>
      <c r="AH118" s="8">
        <f t="shared" si="4"/>
        <v>34414.209024000003</v>
      </c>
      <c r="AI118" s="8">
        <f t="shared" si="5"/>
        <v>2403.9690240000018</v>
      </c>
      <c r="AJ118" s="8">
        <f t="shared" si="6"/>
        <v>33741.993984000001</v>
      </c>
      <c r="AK118" s="8">
        <f t="shared" si="7"/>
        <v>1731.753983999999</v>
      </c>
    </row>
    <row r="119" spans="1:37" x14ac:dyDescent="0.3">
      <c r="A119" s="1">
        <v>129</v>
      </c>
      <c r="B119" s="2" t="s">
        <v>891</v>
      </c>
      <c r="C119" s="2" t="s">
        <v>371</v>
      </c>
      <c r="D119" s="2" t="s">
        <v>101</v>
      </c>
      <c r="E119" s="1">
        <v>1</v>
      </c>
      <c r="F119" s="2" t="s">
        <v>892</v>
      </c>
      <c r="G119" s="2" t="s">
        <v>701</v>
      </c>
      <c r="H119" s="2" t="s">
        <v>31</v>
      </c>
      <c r="I119" s="2" t="s">
        <v>861</v>
      </c>
      <c r="J119" s="2" t="s">
        <v>31</v>
      </c>
      <c r="K119" s="10" t="s">
        <v>31</v>
      </c>
      <c r="L119" s="2" t="s">
        <v>893</v>
      </c>
      <c r="M119" s="2" t="s">
        <v>894</v>
      </c>
      <c r="N119" s="2" t="s">
        <v>31</v>
      </c>
      <c r="O119" s="2" t="s">
        <v>31</v>
      </c>
      <c r="P119" s="2" t="s">
        <v>895</v>
      </c>
      <c r="Q119" s="2" t="s">
        <v>59</v>
      </c>
      <c r="R119" s="2" t="s">
        <v>48</v>
      </c>
      <c r="S119" s="2" t="s">
        <v>31</v>
      </c>
      <c r="T119" s="2" t="s">
        <v>60</v>
      </c>
      <c r="U119" s="2">
        <v>20936</v>
      </c>
      <c r="V119" s="10">
        <v>1906</v>
      </c>
      <c r="W119" s="10">
        <v>7979.8000300000003</v>
      </c>
      <c r="X119" s="11">
        <v>0</v>
      </c>
      <c r="Y119" s="11">
        <v>1</v>
      </c>
      <c r="Z119" s="2" t="s">
        <v>380</v>
      </c>
      <c r="AA119" s="2" t="s">
        <v>896</v>
      </c>
      <c r="AB119" s="3">
        <v>44111</v>
      </c>
      <c r="AC119" s="2">
        <v>1</v>
      </c>
      <c r="AD119" s="2" t="s">
        <v>39</v>
      </c>
      <c r="AE119" s="2">
        <v>0</v>
      </c>
      <c r="AF119" s="4">
        <v>8846600</v>
      </c>
      <c r="AG119" s="8">
        <v>90589.18</v>
      </c>
      <c r="AH119" s="8">
        <f t="shared" si="4"/>
        <v>97392.427417999992</v>
      </c>
      <c r="AI119" s="8">
        <f t="shared" si="5"/>
        <v>6803.247417999999</v>
      </c>
      <c r="AJ119" s="8">
        <f t="shared" si="6"/>
        <v>95490.054638000001</v>
      </c>
      <c r="AK119" s="8">
        <f t="shared" si="7"/>
        <v>4900.8746380000084</v>
      </c>
    </row>
    <row r="120" spans="1:37" x14ac:dyDescent="0.3">
      <c r="A120" s="1">
        <v>130</v>
      </c>
      <c r="B120" s="2" t="s">
        <v>897</v>
      </c>
      <c r="C120" s="2" t="s">
        <v>898</v>
      </c>
      <c r="D120" s="2" t="s">
        <v>101</v>
      </c>
      <c r="E120" s="1">
        <v>1</v>
      </c>
      <c r="F120" s="2" t="s">
        <v>899</v>
      </c>
      <c r="G120" s="2" t="s">
        <v>900</v>
      </c>
      <c r="H120" s="2" t="s">
        <v>31</v>
      </c>
      <c r="I120" s="2" t="s">
        <v>901</v>
      </c>
      <c r="J120" s="2" t="s">
        <v>31</v>
      </c>
      <c r="K120" s="10" t="s">
        <v>31</v>
      </c>
      <c r="L120" s="2" t="s">
        <v>442</v>
      </c>
      <c r="M120" s="2" t="s">
        <v>31</v>
      </c>
      <c r="N120" s="2" t="s">
        <v>902</v>
      </c>
      <c r="O120" s="2" t="s">
        <v>31</v>
      </c>
      <c r="P120" s="2" t="s">
        <v>444</v>
      </c>
      <c r="Q120" s="2" t="s">
        <v>86</v>
      </c>
      <c r="R120" s="2" t="s">
        <v>48</v>
      </c>
      <c r="S120" s="2" t="s">
        <v>31</v>
      </c>
      <c r="T120" s="2" t="s">
        <v>445</v>
      </c>
      <c r="U120" s="2">
        <v>22998</v>
      </c>
      <c r="V120" s="10">
        <v>1900</v>
      </c>
      <c r="W120" s="10">
        <v>13309.45004</v>
      </c>
      <c r="X120" s="11">
        <v>0</v>
      </c>
      <c r="Y120" s="11">
        <v>1</v>
      </c>
      <c r="Z120" s="2" t="s">
        <v>380</v>
      </c>
      <c r="AA120" s="2" t="s">
        <v>31</v>
      </c>
      <c r="AB120" s="3" t="s">
        <v>31</v>
      </c>
      <c r="AC120" s="2" t="s">
        <v>31</v>
      </c>
      <c r="AD120" s="2" t="s">
        <v>39</v>
      </c>
      <c r="AE120" s="2">
        <v>0</v>
      </c>
      <c r="AF120" s="4">
        <v>10847000</v>
      </c>
      <c r="AG120" s="8">
        <v>0</v>
      </c>
      <c r="AH120" s="8">
        <f t="shared" si="4"/>
        <v>0</v>
      </c>
      <c r="AI120" s="8">
        <f t="shared" si="5"/>
        <v>0</v>
      </c>
      <c r="AJ120" s="8">
        <f t="shared" si="6"/>
        <v>0</v>
      </c>
      <c r="AK120" s="8">
        <f t="shared" si="7"/>
        <v>0</v>
      </c>
    </row>
    <row r="121" spans="1:37" x14ac:dyDescent="0.3">
      <c r="A121" s="1">
        <v>131</v>
      </c>
      <c r="B121" s="2" t="s">
        <v>903</v>
      </c>
      <c r="C121" s="2" t="s">
        <v>417</v>
      </c>
      <c r="D121" s="2" t="s">
        <v>101</v>
      </c>
      <c r="E121" s="1" t="s">
        <v>31</v>
      </c>
      <c r="F121" s="2" t="s">
        <v>904</v>
      </c>
      <c r="G121" s="2" t="s">
        <v>905</v>
      </c>
      <c r="H121" s="2" t="s">
        <v>31</v>
      </c>
      <c r="I121" s="2" t="s">
        <v>343</v>
      </c>
      <c r="J121" s="2" t="s">
        <v>31</v>
      </c>
      <c r="K121" s="10" t="s">
        <v>31</v>
      </c>
      <c r="L121" s="2" t="s">
        <v>442</v>
      </c>
      <c r="M121" s="2" t="s">
        <v>31</v>
      </c>
      <c r="N121" s="2" t="s">
        <v>443</v>
      </c>
      <c r="O121" s="2" t="s">
        <v>31</v>
      </c>
      <c r="P121" s="2" t="s">
        <v>556</v>
      </c>
      <c r="Q121" s="2" t="s">
        <v>86</v>
      </c>
      <c r="R121" s="2" t="s">
        <v>48</v>
      </c>
      <c r="S121" s="2" t="s">
        <v>31</v>
      </c>
      <c r="T121" s="2" t="s">
        <v>445</v>
      </c>
      <c r="U121" s="2">
        <v>12915</v>
      </c>
      <c r="V121" s="10" t="s">
        <v>31</v>
      </c>
      <c r="W121" s="10">
        <v>0</v>
      </c>
      <c r="X121" s="11" t="s">
        <v>31</v>
      </c>
      <c r="Y121" s="11" t="s">
        <v>31</v>
      </c>
      <c r="Z121" s="2" t="s">
        <v>380</v>
      </c>
      <c r="AA121" s="2" t="s">
        <v>906</v>
      </c>
      <c r="AB121" s="3">
        <v>23889</v>
      </c>
      <c r="AC121" s="2">
        <v>100</v>
      </c>
      <c r="AD121" s="2" t="s">
        <v>39</v>
      </c>
      <c r="AE121" s="2" t="s">
        <v>31</v>
      </c>
      <c r="AF121" s="4">
        <v>2485800</v>
      </c>
      <c r="AG121" s="8">
        <v>25454.59</v>
      </c>
      <c r="AH121" s="8">
        <f t="shared" si="4"/>
        <v>27366.229708999999</v>
      </c>
      <c r="AI121" s="8">
        <f t="shared" si="5"/>
        <v>1911.6397089999991</v>
      </c>
      <c r="AJ121" s="8">
        <f t="shared" si="6"/>
        <v>26831.683319</v>
      </c>
      <c r="AK121" s="8">
        <f t="shared" si="7"/>
        <v>1377.0933189999996</v>
      </c>
    </row>
    <row r="122" spans="1:37" x14ac:dyDescent="0.3">
      <c r="A122" s="1">
        <v>132</v>
      </c>
      <c r="B122" s="2" t="s">
        <v>907</v>
      </c>
      <c r="C122" s="2" t="s">
        <v>371</v>
      </c>
      <c r="D122" s="2" t="s">
        <v>101</v>
      </c>
      <c r="E122" s="1">
        <v>1</v>
      </c>
      <c r="F122" s="2" t="s">
        <v>908</v>
      </c>
      <c r="G122" s="2" t="s">
        <v>407</v>
      </c>
      <c r="H122" s="2" t="s">
        <v>31</v>
      </c>
      <c r="I122" s="2" t="s">
        <v>343</v>
      </c>
      <c r="J122" s="2" t="s">
        <v>31</v>
      </c>
      <c r="K122" s="10" t="s">
        <v>31</v>
      </c>
      <c r="L122" s="2" t="s">
        <v>909</v>
      </c>
      <c r="M122" s="2" t="s">
        <v>910</v>
      </c>
      <c r="N122" s="2" t="s">
        <v>31</v>
      </c>
      <c r="O122" s="2" t="s">
        <v>31</v>
      </c>
      <c r="P122" s="2" t="s">
        <v>911</v>
      </c>
      <c r="Q122" s="2" t="s">
        <v>59</v>
      </c>
      <c r="R122" s="2" t="s">
        <v>48</v>
      </c>
      <c r="S122" s="2" t="s">
        <v>31</v>
      </c>
      <c r="T122" s="2" t="s">
        <v>60</v>
      </c>
      <c r="U122" s="2">
        <v>11732</v>
      </c>
      <c r="V122" s="10">
        <v>1908</v>
      </c>
      <c r="W122" s="10">
        <v>10526.5</v>
      </c>
      <c r="X122" s="11">
        <v>0</v>
      </c>
      <c r="Y122" s="11">
        <v>1</v>
      </c>
      <c r="Z122" s="2" t="s">
        <v>380</v>
      </c>
      <c r="AA122" s="2" t="s">
        <v>912</v>
      </c>
      <c r="AB122" s="3">
        <v>44693</v>
      </c>
      <c r="AC122" s="2">
        <v>4554000</v>
      </c>
      <c r="AD122" s="2" t="s">
        <v>107</v>
      </c>
      <c r="AE122" s="2">
        <v>0</v>
      </c>
      <c r="AF122" s="4">
        <v>4633200</v>
      </c>
      <c r="AG122" s="8">
        <v>43809.03</v>
      </c>
      <c r="AH122" s="8">
        <f t="shared" si="4"/>
        <v>47099.088152999997</v>
      </c>
      <c r="AI122" s="8">
        <f t="shared" si="5"/>
        <v>3290.0581529999981</v>
      </c>
      <c r="AJ122" s="8">
        <f t="shared" si="6"/>
        <v>46179.098523000001</v>
      </c>
      <c r="AK122" s="8">
        <f t="shared" si="7"/>
        <v>2370.0685230000017</v>
      </c>
    </row>
    <row r="123" spans="1:37" x14ac:dyDescent="0.3">
      <c r="A123" s="1">
        <v>133</v>
      </c>
      <c r="B123" s="2" t="s">
        <v>913</v>
      </c>
      <c r="C123" s="2" t="s">
        <v>914</v>
      </c>
      <c r="D123" s="2" t="s">
        <v>101</v>
      </c>
      <c r="E123" s="1">
        <v>18</v>
      </c>
      <c r="F123" s="2" t="s">
        <v>915</v>
      </c>
      <c r="G123" s="2" t="s">
        <v>916</v>
      </c>
      <c r="H123" s="2" t="s">
        <v>31</v>
      </c>
      <c r="I123" s="2" t="s">
        <v>343</v>
      </c>
      <c r="J123" s="2" t="s">
        <v>31</v>
      </c>
      <c r="K123" s="10" t="s">
        <v>31</v>
      </c>
      <c r="L123" s="2" t="s">
        <v>442</v>
      </c>
      <c r="M123" s="2" t="s">
        <v>31</v>
      </c>
      <c r="N123" s="2" t="s">
        <v>443</v>
      </c>
      <c r="O123" s="2" t="s">
        <v>31</v>
      </c>
      <c r="P123" s="2" t="s">
        <v>444</v>
      </c>
      <c r="Q123" s="2" t="s">
        <v>86</v>
      </c>
      <c r="R123" s="2" t="s">
        <v>48</v>
      </c>
      <c r="S123" s="2" t="s">
        <v>31</v>
      </c>
      <c r="T123" s="2" t="s">
        <v>445</v>
      </c>
      <c r="U123" s="2">
        <v>14626</v>
      </c>
      <c r="V123" s="10">
        <v>1910</v>
      </c>
      <c r="W123" s="10">
        <v>4478</v>
      </c>
      <c r="X123" s="11">
        <v>0</v>
      </c>
      <c r="Y123" s="11">
        <v>18</v>
      </c>
      <c r="Z123" s="2" t="s">
        <v>380</v>
      </c>
      <c r="AA123" s="2" t="s">
        <v>917</v>
      </c>
      <c r="AB123" s="3">
        <v>34080</v>
      </c>
      <c r="AC123" s="2">
        <v>400000</v>
      </c>
      <c r="AD123" s="2" t="s">
        <v>39</v>
      </c>
      <c r="AE123" s="2">
        <v>0</v>
      </c>
      <c r="AF123" s="4">
        <v>4523700</v>
      </c>
      <c r="AG123" s="8">
        <v>0</v>
      </c>
      <c r="AH123" s="8">
        <f t="shared" si="4"/>
        <v>0</v>
      </c>
      <c r="AI123" s="8">
        <f t="shared" si="5"/>
        <v>0</v>
      </c>
      <c r="AJ123" s="8">
        <f t="shared" si="6"/>
        <v>0</v>
      </c>
      <c r="AK123" s="8">
        <f t="shared" si="7"/>
        <v>0</v>
      </c>
    </row>
    <row r="124" spans="1:37" x14ac:dyDescent="0.3">
      <c r="A124" s="1">
        <v>134</v>
      </c>
      <c r="B124" s="2" t="s">
        <v>918</v>
      </c>
      <c r="C124" s="2" t="s">
        <v>371</v>
      </c>
      <c r="D124" s="2" t="s">
        <v>101</v>
      </c>
      <c r="E124" s="1">
        <v>1</v>
      </c>
      <c r="F124" s="2" t="s">
        <v>919</v>
      </c>
      <c r="G124" s="2" t="s">
        <v>920</v>
      </c>
      <c r="H124" s="2" t="s">
        <v>31</v>
      </c>
      <c r="I124" s="2" t="s">
        <v>921</v>
      </c>
      <c r="J124" s="2" t="s">
        <v>31</v>
      </c>
      <c r="K124" s="10" t="s">
        <v>31</v>
      </c>
      <c r="L124" s="2" t="s">
        <v>442</v>
      </c>
      <c r="M124" s="2" t="s">
        <v>31</v>
      </c>
      <c r="N124" s="2" t="s">
        <v>443</v>
      </c>
      <c r="O124" s="2" t="s">
        <v>31</v>
      </c>
      <c r="P124" s="2" t="s">
        <v>444</v>
      </c>
      <c r="Q124" s="2" t="s">
        <v>86</v>
      </c>
      <c r="R124" s="2" t="s">
        <v>48</v>
      </c>
      <c r="S124" s="2" t="s">
        <v>31</v>
      </c>
      <c r="T124" s="2" t="s">
        <v>445</v>
      </c>
      <c r="U124" s="2">
        <v>11550</v>
      </c>
      <c r="V124" s="10">
        <v>1950</v>
      </c>
      <c r="W124" s="10">
        <v>2085.15</v>
      </c>
      <c r="X124" s="11">
        <v>0</v>
      </c>
      <c r="Y124" s="11">
        <v>1</v>
      </c>
      <c r="Z124" s="2" t="s">
        <v>380</v>
      </c>
      <c r="AA124" s="2" t="s">
        <v>922</v>
      </c>
      <c r="AB124" s="3">
        <v>35353</v>
      </c>
      <c r="AC124" s="2">
        <v>485000</v>
      </c>
      <c r="AD124" s="2" t="s">
        <v>39</v>
      </c>
      <c r="AE124" s="2">
        <v>0</v>
      </c>
      <c r="AF124" s="4">
        <v>2382100</v>
      </c>
      <c r="AG124" s="8">
        <v>24392.7</v>
      </c>
      <c r="AH124" s="8">
        <f t="shared" si="4"/>
        <v>26224.591769999999</v>
      </c>
      <c r="AI124" s="8">
        <f t="shared" si="5"/>
        <v>1831.8917699999984</v>
      </c>
      <c r="AJ124" s="8">
        <f t="shared" si="6"/>
        <v>25712.345070000003</v>
      </c>
      <c r="AK124" s="8">
        <f t="shared" si="7"/>
        <v>1319.6450700000023</v>
      </c>
    </row>
    <row r="125" spans="1:37" x14ac:dyDescent="0.3">
      <c r="A125" s="1">
        <v>135</v>
      </c>
      <c r="B125" s="2" t="s">
        <v>923</v>
      </c>
      <c r="C125" s="2" t="s">
        <v>898</v>
      </c>
      <c r="D125" s="2" t="s">
        <v>101</v>
      </c>
      <c r="E125" s="1">
        <v>1</v>
      </c>
      <c r="F125" s="2" t="s">
        <v>924</v>
      </c>
      <c r="G125" s="2" t="s">
        <v>925</v>
      </c>
      <c r="H125" s="2" t="s">
        <v>31</v>
      </c>
      <c r="I125" s="2" t="s">
        <v>921</v>
      </c>
      <c r="J125" s="2" t="s">
        <v>31</v>
      </c>
      <c r="K125" s="10" t="s">
        <v>31</v>
      </c>
      <c r="L125" s="2" t="s">
        <v>442</v>
      </c>
      <c r="M125" s="2" t="s">
        <v>31</v>
      </c>
      <c r="N125" s="2" t="s">
        <v>443</v>
      </c>
      <c r="O125" s="2" t="s">
        <v>31</v>
      </c>
      <c r="P125" s="2" t="s">
        <v>444</v>
      </c>
      <c r="Q125" s="2" t="s">
        <v>86</v>
      </c>
      <c r="R125" s="2" t="s">
        <v>48</v>
      </c>
      <c r="S125" s="2" t="s">
        <v>31</v>
      </c>
      <c r="T125" s="2" t="s">
        <v>445</v>
      </c>
      <c r="U125" s="2">
        <v>13750</v>
      </c>
      <c r="V125" s="10">
        <v>1850</v>
      </c>
      <c r="W125" s="10">
        <v>3315</v>
      </c>
      <c r="X125" s="11">
        <v>0</v>
      </c>
      <c r="Y125" s="11">
        <v>1</v>
      </c>
      <c r="Z125" s="2" t="s">
        <v>447</v>
      </c>
      <c r="AA125" s="2" t="s">
        <v>926</v>
      </c>
      <c r="AB125" s="3">
        <v>23313</v>
      </c>
      <c r="AC125" s="2">
        <v>100</v>
      </c>
      <c r="AD125" s="2" t="s">
        <v>39</v>
      </c>
      <c r="AE125" s="2">
        <v>0</v>
      </c>
      <c r="AF125" s="4">
        <v>3245100</v>
      </c>
      <c r="AG125" s="8">
        <v>0</v>
      </c>
      <c r="AH125" s="8">
        <f t="shared" si="4"/>
        <v>0</v>
      </c>
      <c r="AI125" s="8">
        <f t="shared" si="5"/>
        <v>0</v>
      </c>
      <c r="AJ125" s="8">
        <f t="shared" si="6"/>
        <v>0</v>
      </c>
      <c r="AK125" s="8">
        <f t="shared" si="7"/>
        <v>0</v>
      </c>
    </row>
    <row r="126" spans="1:37" x14ac:dyDescent="0.3">
      <c r="A126" s="1">
        <v>136</v>
      </c>
      <c r="B126" s="2" t="s">
        <v>927</v>
      </c>
      <c r="C126" s="2" t="s">
        <v>439</v>
      </c>
      <c r="D126" s="2" t="s">
        <v>28</v>
      </c>
      <c r="E126" s="1">
        <v>37</v>
      </c>
      <c r="F126" s="2" t="s">
        <v>928</v>
      </c>
      <c r="G126" s="2" t="s">
        <v>929</v>
      </c>
      <c r="H126" s="2" t="s">
        <v>31</v>
      </c>
      <c r="I126" s="2" t="s">
        <v>492</v>
      </c>
      <c r="J126" s="2" t="s">
        <v>31</v>
      </c>
      <c r="K126" s="10" t="s">
        <v>31</v>
      </c>
      <c r="L126" s="2" t="s">
        <v>442</v>
      </c>
      <c r="M126" s="2" t="s">
        <v>31</v>
      </c>
      <c r="N126" s="2" t="s">
        <v>443</v>
      </c>
      <c r="O126" s="2" t="s">
        <v>31</v>
      </c>
      <c r="P126" s="2" t="s">
        <v>444</v>
      </c>
      <c r="Q126" s="2" t="s">
        <v>86</v>
      </c>
      <c r="R126" s="2" t="s">
        <v>48</v>
      </c>
      <c r="S126" s="2" t="s">
        <v>31</v>
      </c>
      <c r="T126" s="2" t="s">
        <v>445</v>
      </c>
      <c r="U126" s="2">
        <v>19560</v>
      </c>
      <c r="V126" s="10">
        <v>1925</v>
      </c>
      <c r="W126" s="10">
        <v>25584.3</v>
      </c>
      <c r="X126" s="11">
        <v>0</v>
      </c>
      <c r="Y126" s="11">
        <v>37</v>
      </c>
      <c r="Z126" s="2" t="s">
        <v>447</v>
      </c>
      <c r="AA126" s="2" t="s">
        <v>930</v>
      </c>
      <c r="AB126" s="3">
        <v>30162</v>
      </c>
      <c r="AC126" s="2">
        <v>900000</v>
      </c>
      <c r="AD126" s="2" t="s">
        <v>39</v>
      </c>
      <c r="AE126" s="2">
        <v>0</v>
      </c>
      <c r="AF126" s="4">
        <v>13122100</v>
      </c>
      <c r="AG126" s="8">
        <v>134370.29999999999</v>
      </c>
      <c r="AH126" s="8">
        <f t="shared" si="4"/>
        <v>144461.50952999998</v>
      </c>
      <c r="AI126" s="8">
        <f t="shared" si="5"/>
        <v>10091.209529999993</v>
      </c>
      <c r="AJ126" s="8">
        <f t="shared" si="6"/>
        <v>141639.73322999998</v>
      </c>
      <c r="AK126" s="8">
        <f t="shared" si="7"/>
        <v>7269.4332299999951</v>
      </c>
    </row>
    <row r="127" spans="1:37" x14ac:dyDescent="0.3">
      <c r="A127" s="1">
        <v>137</v>
      </c>
      <c r="B127" s="2" t="s">
        <v>931</v>
      </c>
      <c r="C127" s="2" t="s">
        <v>449</v>
      </c>
      <c r="D127" s="2" t="s">
        <v>101</v>
      </c>
      <c r="E127" s="1">
        <v>3</v>
      </c>
      <c r="F127" s="2" t="s">
        <v>932</v>
      </c>
      <c r="G127" s="2" t="s">
        <v>933</v>
      </c>
      <c r="H127" s="2" t="s">
        <v>31</v>
      </c>
      <c r="I127" s="2" t="s">
        <v>492</v>
      </c>
      <c r="J127" s="2" t="s">
        <v>31</v>
      </c>
      <c r="K127" s="10" t="s">
        <v>31</v>
      </c>
      <c r="L127" s="2" t="s">
        <v>665</v>
      </c>
      <c r="M127" s="2" t="s">
        <v>934</v>
      </c>
      <c r="N127" s="2" t="s">
        <v>31</v>
      </c>
      <c r="O127" s="2" t="s">
        <v>31</v>
      </c>
      <c r="P127" s="2" t="s">
        <v>935</v>
      </c>
      <c r="Q127" s="2" t="s">
        <v>936</v>
      </c>
      <c r="R127" s="2" t="s">
        <v>48</v>
      </c>
      <c r="S127" s="2" t="s">
        <v>31</v>
      </c>
      <c r="T127" s="2" t="s">
        <v>937</v>
      </c>
      <c r="U127" s="2">
        <v>3788</v>
      </c>
      <c r="V127" s="10">
        <v>1940</v>
      </c>
      <c r="W127" s="10">
        <v>6357</v>
      </c>
      <c r="X127" s="11">
        <v>0</v>
      </c>
      <c r="Y127" s="11">
        <v>3</v>
      </c>
      <c r="Z127" s="2" t="s">
        <v>447</v>
      </c>
      <c r="AA127" s="2" t="s">
        <v>938</v>
      </c>
      <c r="AB127" s="3">
        <v>45672</v>
      </c>
      <c r="AC127" s="2">
        <v>10</v>
      </c>
      <c r="AD127" s="2" t="s">
        <v>39</v>
      </c>
      <c r="AE127" s="2">
        <v>0</v>
      </c>
      <c r="AF127" s="4">
        <v>3391400</v>
      </c>
      <c r="AG127" s="8">
        <v>34727.94</v>
      </c>
      <c r="AH127" s="8">
        <f t="shared" si="4"/>
        <v>37336.008293999999</v>
      </c>
      <c r="AI127" s="8">
        <f t="shared" si="5"/>
        <v>2608.068293999997</v>
      </c>
      <c r="AJ127" s="8">
        <f t="shared" si="6"/>
        <v>36606.721554000003</v>
      </c>
      <c r="AK127" s="8">
        <f t="shared" si="7"/>
        <v>1878.7815540000011</v>
      </c>
    </row>
    <row r="128" spans="1:37" x14ac:dyDescent="0.3">
      <c r="A128" s="1">
        <v>139</v>
      </c>
      <c r="B128" s="2" t="s">
        <v>939</v>
      </c>
      <c r="C128" s="2" t="s">
        <v>100</v>
      </c>
      <c r="D128" s="2" t="s">
        <v>101</v>
      </c>
      <c r="E128" s="1">
        <v>1</v>
      </c>
      <c r="F128" s="2" t="s">
        <v>940</v>
      </c>
      <c r="G128" s="2" t="s">
        <v>322</v>
      </c>
      <c r="H128" s="2" t="s">
        <v>31</v>
      </c>
      <c r="I128" s="2" t="s">
        <v>664</v>
      </c>
      <c r="J128" s="2" t="s">
        <v>299</v>
      </c>
      <c r="K128" s="10" t="s">
        <v>2832</v>
      </c>
      <c r="L128" s="2" t="s">
        <v>941</v>
      </c>
      <c r="M128" s="2" t="s">
        <v>942</v>
      </c>
      <c r="N128" s="2" t="s">
        <v>943</v>
      </c>
      <c r="O128" s="2" t="s">
        <v>944</v>
      </c>
      <c r="P128" s="2" t="s">
        <v>945</v>
      </c>
      <c r="Q128" s="2" t="s">
        <v>59</v>
      </c>
      <c r="R128" s="2" t="s">
        <v>48</v>
      </c>
      <c r="S128" s="2" t="s">
        <v>31</v>
      </c>
      <c r="T128" s="2" t="s">
        <v>60</v>
      </c>
      <c r="U128" s="2">
        <v>0</v>
      </c>
      <c r="V128" s="10">
        <v>1910</v>
      </c>
      <c r="W128" s="10">
        <v>960</v>
      </c>
      <c r="X128" s="11">
        <v>0</v>
      </c>
      <c r="Y128" s="11">
        <v>1</v>
      </c>
      <c r="Z128" s="2" t="s">
        <v>31</v>
      </c>
      <c r="AA128" s="2" t="s">
        <v>946</v>
      </c>
      <c r="AB128" s="3">
        <v>43768</v>
      </c>
      <c r="AC128" s="2">
        <v>707000</v>
      </c>
      <c r="AD128" s="2" t="s">
        <v>39</v>
      </c>
      <c r="AE128" s="2">
        <v>15.5</v>
      </c>
      <c r="AF128" s="4">
        <v>679400</v>
      </c>
      <c r="AG128" s="8">
        <v>6957.06</v>
      </c>
      <c r="AH128" s="8">
        <f t="shared" si="4"/>
        <v>7479.5352060000005</v>
      </c>
      <c r="AI128" s="8">
        <f t="shared" si="5"/>
        <v>522.47520600000007</v>
      </c>
      <c r="AJ128" s="8">
        <f t="shared" si="6"/>
        <v>7333.4369460000007</v>
      </c>
      <c r="AK128" s="8">
        <f t="shared" si="7"/>
        <v>376.37694600000032</v>
      </c>
    </row>
    <row r="129" spans="1:37" x14ac:dyDescent="0.3">
      <c r="A129" s="1">
        <v>140</v>
      </c>
      <c r="B129" s="2" t="s">
        <v>947</v>
      </c>
      <c r="C129" s="2" t="s">
        <v>100</v>
      </c>
      <c r="D129" s="2" t="s">
        <v>101</v>
      </c>
      <c r="E129" s="1">
        <v>1</v>
      </c>
      <c r="F129" s="2" t="s">
        <v>948</v>
      </c>
      <c r="G129" s="2" t="s">
        <v>322</v>
      </c>
      <c r="H129" s="2" t="s">
        <v>31</v>
      </c>
      <c r="I129" s="2" t="s">
        <v>664</v>
      </c>
      <c r="J129" s="2" t="s">
        <v>314</v>
      </c>
      <c r="K129" s="10" t="s">
        <v>2832</v>
      </c>
      <c r="L129" s="2" t="s">
        <v>949</v>
      </c>
      <c r="M129" s="2" t="s">
        <v>950</v>
      </c>
      <c r="N129" s="2" t="s">
        <v>951</v>
      </c>
      <c r="O129" s="2" t="s">
        <v>952</v>
      </c>
      <c r="P129" s="2" t="s">
        <v>953</v>
      </c>
      <c r="Q129" s="2" t="s">
        <v>59</v>
      </c>
      <c r="R129" s="2" t="s">
        <v>48</v>
      </c>
      <c r="S129" s="2" t="s">
        <v>31</v>
      </c>
      <c r="T129" s="2" t="s">
        <v>60</v>
      </c>
      <c r="U129" s="2">
        <v>0</v>
      </c>
      <c r="V129" s="10">
        <v>1910</v>
      </c>
      <c r="W129" s="10">
        <v>1018</v>
      </c>
      <c r="X129" s="11">
        <v>0</v>
      </c>
      <c r="Y129" s="11">
        <v>1</v>
      </c>
      <c r="Z129" s="2" t="s">
        <v>31</v>
      </c>
      <c r="AA129" s="2" t="s">
        <v>954</v>
      </c>
      <c r="AB129" s="3">
        <v>41124</v>
      </c>
      <c r="AC129" s="2">
        <v>484000</v>
      </c>
      <c r="AD129" s="2" t="s">
        <v>39</v>
      </c>
      <c r="AE129" s="2">
        <v>15.7</v>
      </c>
      <c r="AF129" s="4">
        <v>753600</v>
      </c>
      <c r="AG129" s="8">
        <v>7716.86</v>
      </c>
      <c r="AH129" s="8">
        <f t="shared" si="4"/>
        <v>8296.3961859999999</v>
      </c>
      <c r="AI129" s="8">
        <f t="shared" si="5"/>
        <v>579.53618600000027</v>
      </c>
      <c r="AJ129" s="8">
        <f t="shared" si="6"/>
        <v>8134.3421259999996</v>
      </c>
      <c r="AK129" s="8">
        <f t="shared" si="7"/>
        <v>417.48212599999988</v>
      </c>
    </row>
    <row r="130" spans="1:37" x14ac:dyDescent="0.3">
      <c r="A130" s="1">
        <v>141</v>
      </c>
      <c r="B130" s="2" t="s">
        <v>955</v>
      </c>
      <c r="C130" s="2" t="s">
        <v>100</v>
      </c>
      <c r="D130" s="2" t="s">
        <v>101</v>
      </c>
      <c r="E130" s="1">
        <v>1</v>
      </c>
      <c r="F130" s="2" t="s">
        <v>956</v>
      </c>
      <c r="G130" s="2" t="s">
        <v>322</v>
      </c>
      <c r="H130" s="2" t="s">
        <v>31</v>
      </c>
      <c r="I130" s="2" t="s">
        <v>664</v>
      </c>
      <c r="J130" s="2" t="s">
        <v>322</v>
      </c>
      <c r="K130" s="10" t="s">
        <v>2832</v>
      </c>
      <c r="L130" s="2" t="s">
        <v>957</v>
      </c>
      <c r="M130" s="2" t="s">
        <v>958</v>
      </c>
      <c r="N130" s="2" t="s">
        <v>31</v>
      </c>
      <c r="O130" s="2" t="s">
        <v>31</v>
      </c>
      <c r="P130" s="2" t="s">
        <v>959</v>
      </c>
      <c r="Q130" s="2" t="s">
        <v>59</v>
      </c>
      <c r="R130" s="2" t="s">
        <v>48</v>
      </c>
      <c r="S130" s="2" t="s">
        <v>31</v>
      </c>
      <c r="T130" s="2" t="s">
        <v>60</v>
      </c>
      <c r="U130" s="2">
        <v>0</v>
      </c>
      <c r="V130" s="10">
        <v>1910</v>
      </c>
      <c r="W130" s="10">
        <v>1066</v>
      </c>
      <c r="X130" s="11">
        <v>0</v>
      </c>
      <c r="Y130" s="11">
        <v>1</v>
      </c>
      <c r="Z130" s="2" t="s">
        <v>31</v>
      </c>
      <c r="AA130" s="2" t="s">
        <v>960</v>
      </c>
      <c r="AB130" s="3">
        <v>40624</v>
      </c>
      <c r="AC130" s="2">
        <v>1</v>
      </c>
      <c r="AD130" s="2" t="s">
        <v>107</v>
      </c>
      <c r="AE130" s="2">
        <v>15.8</v>
      </c>
      <c r="AF130" s="4">
        <v>735400</v>
      </c>
      <c r="AG130" s="8">
        <v>3895.56</v>
      </c>
      <c r="AH130" s="8">
        <f t="shared" si="4"/>
        <v>4188.1165559999999</v>
      </c>
      <c r="AI130" s="8">
        <f t="shared" si="5"/>
        <v>292.556556</v>
      </c>
      <c r="AJ130" s="8">
        <f t="shared" si="6"/>
        <v>4106.3097960000005</v>
      </c>
      <c r="AK130" s="8">
        <f t="shared" si="7"/>
        <v>210.74979600000052</v>
      </c>
    </row>
    <row r="131" spans="1:37" x14ac:dyDescent="0.3">
      <c r="A131" s="1">
        <v>142</v>
      </c>
      <c r="B131" s="2" t="s">
        <v>961</v>
      </c>
      <c r="C131" s="2" t="s">
        <v>100</v>
      </c>
      <c r="D131" s="2" t="s">
        <v>101</v>
      </c>
      <c r="E131" s="1">
        <v>1</v>
      </c>
      <c r="F131" s="2" t="s">
        <v>962</v>
      </c>
      <c r="G131" s="2" t="s">
        <v>322</v>
      </c>
      <c r="H131" s="2" t="s">
        <v>31</v>
      </c>
      <c r="I131" s="2" t="s">
        <v>664</v>
      </c>
      <c r="J131" s="2" t="s">
        <v>332</v>
      </c>
      <c r="K131" s="10" t="s">
        <v>2832</v>
      </c>
      <c r="L131" s="2" t="s">
        <v>963</v>
      </c>
      <c r="M131" s="2" t="s">
        <v>964</v>
      </c>
      <c r="N131" s="2" t="s">
        <v>31</v>
      </c>
      <c r="O131" s="2" t="s">
        <v>31</v>
      </c>
      <c r="P131" s="2" t="s">
        <v>965</v>
      </c>
      <c r="Q131" s="2" t="s">
        <v>86</v>
      </c>
      <c r="R131" s="2" t="s">
        <v>48</v>
      </c>
      <c r="S131" s="2" t="s">
        <v>31</v>
      </c>
      <c r="T131" s="2" t="s">
        <v>235</v>
      </c>
      <c r="U131" s="2">
        <v>0</v>
      </c>
      <c r="V131" s="10">
        <v>1910</v>
      </c>
      <c r="W131" s="10">
        <v>966</v>
      </c>
      <c r="X131" s="11">
        <v>0</v>
      </c>
      <c r="Y131" s="11">
        <v>1</v>
      </c>
      <c r="Z131" s="2" t="s">
        <v>31</v>
      </c>
      <c r="AA131" s="2" t="s">
        <v>966</v>
      </c>
      <c r="AB131" s="3">
        <v>43970</v>
      </c>
      <c r="AC131" s="2">
        <v>100</v>
      </c>
      <c r="AD131" s="2" t="s">
        <v>39</v>
      </c>
      <c r="AE131" s="2">
        <v>16</v>
      </c>
      <c r="AF131" s="4">
        <v>702900</v>
      </c>
      <c r="AG131" s="8">
        <v>7197.7</v>
      </c>
      <c r="AH131" s="8">
        <f t="shared" ref="AH131:AH194" si="8">AG131*1.0751</f>
        <v>7738.2472699999998</v>
      </c>
      <c r="AI131" s="8">
        <f t="shared" ref="AI131:AI194" si="9">AH131-AG131</f>
        <v>540.54727000000003</v>
      </c>
      <c r="AJ131" s="8">
        <f t="shared" ref="AJ131:AJ194" si="10">AG131*1.0541</f>
        <v>7587.0955700000004</v>
      </c>
      <c r="AK131" s="8">
        <f t="shared" ref="AK131:AK194" si="11">AJ131-AG131</f>
        <v>389.39557000000059</v>
      </c>
    </row>
    <row r="132" spans="1:37" x14ac:dyDescent="0.3">
      <c r="A132" s="1">
        <v>143</v>
      </c>
      <c r="B132" s="2" t="s">
        <v>967</v>
      </c>
      <c r="C132" s="2" t="s">
        <v>100</v>
      </c>
      <c r="D132" s="2" t="s">
        <v>101</v>
      </c>
      <c r="E132" s="1">
        <v>1</v>
      </c>
      <c r="F132" s="2" t="s">
        <v>968</v>
      </c>
      <c r="G132" s="2" t="s">
        <v>322</v>
      </c>
      <c r="H132" s="2" t="s">
        <v>31</v>
      </c>
      <c r="I132" s="2" t="s">
        <v>664</v>
      </c>
      <c r="J132" s="2" t="s">
        <v>338</v>
      </c>
      <c r="K132" s="10" t="s">
        <v>2832</v>
      </c>
      <c r="L132" s="2" t="s">
        <v>969</v>
      </c>
      <c r="M132" s="2" t="s">
        <v>970</v>
      </c>
      <c r="N132" s="2" t="s">
        <v>31</v>
      </c>
      <c r="O132" s="2" t="s">
        <v>31</v>
      </c>
      <c r="P132" s="2" t="s">
        <v>971</v>
      </c>
      <c r="Q132" s="2" t="s">
        <v>59</v>
      </c>
      <c r="R132" s="2" t="s">
        <v>48</v>
      </c>
      <c r="S132" s="2" t="s">
        <v>31</v>
      </c>
      <c r="T132" s="2" t="s">
        <v>60</v>
      </c>
      <c r="U132" s="2">
        <v>0</v>
      </c>
      <c r="V132" s="10">
        <v>1910</v>
      </c>
      <c r="W132" s="10">
        <v>2130</v>
      </c>
      <c r="X132" s="11">
        <v>0</v>
      </c>
      <c r="Y132" s="11">
        <v>1</v>
      </c>
      <c r="Z132" s="2" t="s">
        <v>31</v>
      </c>
      <c r="AA132" s="2" t="s">
        <v>972</v>
      </c>
      <c r="AB132" s="3">
        <v>42978</v>
      </c>
      <c r="AC132" s="2">
        <v>1250000</v>
      </c>
      <c r="AD132" s="2" t="s">
        <v>39</v>
      </c>
      <c r="AE132" s="2">
        <v>29.9</v>
      </c>
      <c r="AF132" s="4">
        <v>1318100</v>
      </c>
      <c r="AG132" s="8">
        <v>13497.34</v>
      </c>
      <c r="AH132" s="8">
        <f t="shared" si="8"/>
        <v>14510.990233999999</v>
      </c>
      <c r="AI132" s="8">
        <f t="shared" si="9"/>
        <v>1013.6502339999988</v>
      </c>
      <c r="AJ132" s="8">
        <f t="shared" si="10"/>
        <v>14227.546094000001</v>
      </c>
      <c r="AK132" s="8">
        <f t="shared" si="11"/>
        <v>730.20609400000103</v>
      </c>
    </row>
    <row r="133" spans="1:37" x14ac:dyDescent="0.3">
      <c r="A133" s="1">
        <v>144</v>
      </c>
      <c r="B133" s="2" t="s">
        <v>973</v>
      </c>
      <c r="C133" s="2" t="s">
        <v>100</v>
      </c>
      <c r="D133" s="2" t="s">
        <v>101</v>
      </c>
      <c r="E133" s="1">
        <v>1</v>
      </c>
      <c r="F133" s="2" t="s">
        <v>974</v>
      </c>
      <c r="G133" s="2" t="s">
        <v>322</v>
      </c>
      <c r="H133" s="2" t="s">
        <v>31</v>
      </c>
      <c r="I133" s="2" t="s">
        <v>664</v>
      </c>
      <c r="J133" s="2" t="s">
        <v>110</v>
      </c>
      <c r="K133" s="10" t="s">
        <v>2832</v>
      </c>
      <c r="L133" s="2" t="s">
        <v>975</v>
      </c>
      <c r="M133" s="2" t="s">
        <v>976</v>
      </c>
      <c r="N133" s="2" t="s">
        <v>31</v>
      </c>
      <c r="O133" s="2" t="s">
        <v>31</v>
      </c>
      <c r="P133" s="2" t="s">
        <v>977</v>
      </c>
      <c r="Q133" s="2" t="s">
        <v>978</v>
      </c>
      <c r="R133" s="2" t="s">
        <v>48</v>
      </c>
      <c r="S133" s="2" t="s">
        <v>31</v>
      </c>
      <c r="T133" s="2" t="s">
        <v>979</v>
      </c>
      <c r="U133" s="2">
        <v>0</v>
      </c>
      <c r="V133" s="10">
        <v>1910</v>
      </c>
      <c r="W133" s="10">
        <v>764</v>
      </c>
      <c r="X133" s="11">
        <v>0</v>
      </c>
      <c r="Y133" s="11">
        <v>1</v>
      </c>
      <c r="Z133" s="2" t="s">
        <v>31</v>
      </c>
      <c r="AA133" s="2" t="s">
        <v>980</v>
      </c>
      <c r="AB133" s="3">
        <v>41929</v>
      </c>
      <c r="AC133" s="2">
        <v>370000</v>
      </c>
      <c r="AD133" s="2" t="s">
        <v>39</v>
      </c>
      <c r="AE133" s="2">
        <v>7.1</v>
      </c>
      <c r="AF133" s="4">
        <v>502200</v>
      </c>
      <c r="AG133" s="8">
        <v>5142.53</v>
      </c>
      <c r="AH133" s="8">
        <f t="shared" si="8"/>
        <v>5528.7340029999996</v>
      </c>
      <c r="AI133" s="8">
        <f t="shared" si="9"/>
        <v>386.20400299999983</v>
      </c>
      <c r="AJ133" s="8">
        <f t="shared" si="10"/>
        <v>5420.7408729999997</v>
      </c>
      <c r="AK133" s="8">
        <f t="shared" si="11"/>
        <v>278.21087299999999</v>
      </c>
    </row>
    <row r="134" spans="1:37" x14ac:dyDescent="0.3">
      <c r="A134" s="1">
        <v>145</v>
      </c>
      <c r="B134" s="2" t="s">
        <v>981</v>
      </c>
      <c r="C134" s="2" t="s">
        <v>449</v>
      </c>
      <c r="D134" s="2" t="s">
        <v>101</v>
      </c>
      <c r="E134" s="1">
        <v>3</v>
      </c>
      <c r="F134" s="2" t="s">
        <v>982</v>
      </c>
      <c r="G134" s="2" t="s">
        <v>338</v>
      </c>
      <c r="H134" s="2" t="s">
        <v>31</v>
      </c>
      <c r="I134" s="2" t="s">
        <v>664</v>
      </c>
      <c r="J134" s="2" t="s">
        <v>31</v>
      </c>
      <c r="K134" s="10" t="s">
        <v>31</v>
      </c>
      <c r="L134" s="2" t="s">
        <v>983</v>
      </c>
      <c r="M134" s="2" t="s">
        <v>984</v>
      </c>
      <c r="N134" s="2" t="s">
        <v>31</v>
      </c>
      <c r="O134" s="2" t="s">
        <v>31</v>
      </c>
      <c r="P134" s="2" t="s">
        <v>985</v>
      </c>
      <c r="Q134" s="2" t="s">
        <v>59</v>
      </c>
      <c r="R134" s="2" t="s">
        <v>48</v>
      </c>
      <c r="S134" s="2" t="s">
        <v>31</v>
      </c>
      <c r="T134" s="2" t="s">
        <v>60</v>
      </c>
      <c r="U134" s="2">
        <v>3535</v>
      </c>
      <c r="V134" s="10">
        <v>1920</v>
      </c>
      <c r="W134" s="10">
        <v>7536</v>
      </c>
      <c r="X134" s="11">
        <v>0</v>
      </c>
      <c r="Y134" s="11">
        <v>3</v>
      </c>
      <c r="Z134" s="2" t="s">
        <v>447</v>
      </c>
      <c r="AA134" s="2" t="s">
        <v>986</v>
      </c>
      <c r="AB134" s="3">
        <v>34765</v>
      </c>
      <c r="AC134" s="2">
        <v>1</v>
      </c>
      <c r="AD134" s="2" t="s">
        <v>39</v>
      </c>
      <c r="AE134" s="2">
        <v>0</v>
      </c>
      <c r="AF134" s="4">
        <v>3646300</v>
      </c>
      <c r="AG134" s="8">
        <v>37338.11</v>
      </c>
      <c r="AH134" s="8">
        <f t="shared" si="8"/>
        <v>40142.202060999996</v>
      </c>
      <c r="AI134" s="8">
        <f t="shared" si="9"/>
        <v>2804.0920609999957</v>
      </c>
      <c r="AJ134" s="8">
        <f t="shared" si="10"/>
        <v>39358.101751000002</v>
      </c>
      <c r="AK134" s="8">
        <f t="shared" si="11"/>
        <v>2019.9917510000014</v>
      </c>
    </row>
    <row r="135" spans="1:37" x14ac:dyDescent="0.3">
      <c r="A135" s="1">
        <v>146</v>
      </c>
      <c r="B135" s="2" t="s">
        <v>987</v>
      </c>
      <c r="C135" s="2" t="s">
        <v>439</v>
      </c>
      <c r="D135" s="2" t="s">
        <v>28</v>
      </c>
      <c r="E135" s="1">
        <v>12</v>
      </c>
      <c r="F135" s="2" t="s">
        <v>988</v>
      </c>
      <c r="G135" s="2" t="s">
        <v>813</v>
      </c>
      <c r="H135" s="2" t="s">
        <v>31</v>
      </c>
      <c r="I135" s="2" t="s">
        <v>664</v>
      </c>
      <c r="J135" s="2" t="s">
        <v>31</v>
      </c>
      <c r="K135" s="10" t="s">
        <v>31</v>
      </c>
      <c r="L135" s="2" t="s">
        <v>442</v>
      </c>
      <c r="M135" s="2" t="s">
        <v>31</v>
      </c>
      <c r="N135" s="2" t="s">
        <v>443</v>
      </c>
      <c r="O135" s="2" t="s">
        <v>31</v>
      </c>
      <c r="P135" s="2" t="s">
        <v>444</v>
      </c>
      <c r="Q135" s="2" t="s">
        <v>86</v>
      </c>
      <c r="R135" s="2" t="s">
        <v>48</v>
      </c>
      <c r="S135" s="2" t="s">
        <v>31</v>
      </c>
      <c r="T135" s="2" t="s">
        <v>445</v>
      </c>
      <c r="U135" s="2">
        <v>5273</v>
      </c>
      <c r="V135" s="10">
        <v>1900</v>
      </c>
      <c r="W135" s="10">
        <v>7446</v>
      </c>
      <c r="X135" s="11">
        <v>0</v>
      </c>
      <c r="Y135" s="11">
        <v>12</v>
      </c>
      <c r="Z135" s="2" t="s">
        <v>447</v>
      </c>
      <c r="AA135" s="2" t="s">
        <v>989</v>
      </c>
      <c r="AB135" s="3">
        <v>29965</v>
      </c>
      <c r="AC135" s="2">
        <v>250000</v>
      </c>
      <c r="AD135" s="2" t="s">
        <v>39</v>
      </c>
      <c r="AE135" s="2">
        <v>0</v>
      </c>
      <c r="AF135" s="4">
        <v>4095800</v>
      </c>
      <c r="AG135" s="8">
        <v>41940.99</v>
      </c>
      <c r="AH135" s="8">
        <f t="shared" si="8"/>
        <v>45090.758348999996</v>
      </c>
      <c r="AI135" s="8">
        <f t="shared" si="9"/>
        <v>3149.7683489999981</v>
      </c>
      <c r="AJ135" s="8">
        <f t="shared" si="10"/>
        <v>44209.997558999996</v>
      </c>
      <c r="AK135" s="8">
        <f t="shared" si="11"/>
        <v>2269.0075589999979</v>
      </c>
    </row>
    <row r="136" spans="1:37" x14ac:dyDescent="0.3">
      <c r="A136" s="1">
        <v>147</v>
      </c>
      <c r="B136" s="2" t="s">
        <v>990</v>
      </c>
      <c r="C136" s="2" t="s">
        <v>471</v>
      </c>
      <c r="D136" s="2" t="s">
        <v>28</v>
      </c>
      <c r="E136" s="1">
        <v>4</v>
      </c>
      <c r="F136" s="2" t="s">
        <v>991</v>
      </c>
      <c r="G136" s="2" t="s">
        <v>498</v>
      </c>
      <c r="H136" s="2" t="s">
        <v>31</v>
      </c>
      <c r="I136" s="2" t="s">
        <v>664</v>
      </c>
      <c r="J136" s="2" t="s">
        <v>31</v>
      </c>
      <c r="K136" s="10" t="s">
        <v>31</v>
      </c>
      <c r="L136" s="2" t="s">
        <v>992</v>
      </c>
      <c r="M136" s="2" t="s">
        <v>31</v>
      </c>
      <c r="N136" s="2" t="s">
        <v>31</v>
      </c>
      <c r="O136" s="2" t="s">
        <v>31</v>
      </c>
      <c r="P136" s="2" t="s">
        <v>993</v>
      </c>
      <c r="Q136" s="2" t="s">
        <v>435</v>
      </c>
      <c r="R136" s="2" t="s">
        <v>48</v>
      </c>
      <c r="S136" s="2" t="s">
        <v>31</v>
      </c>
      <c r="T136" s="2" t="s">
        <v>994</v>
      </c>
      <c r="U136" s="2">
        <v>4404</v>
      </c>
      <c r="V136" s="10">
        <v>1915</v>
      </c>
      <c r="W136" s="10">
        <v>6904.08</v>
      </c>
      <c r="X136" s="11">
        <v>0</v>
      </c>
      <c r="Y136" s="11">
        <v>4</v>
      </c>
      <c r="Z136" s="2" t="s">
        <v>447</v>
      </c>
      <c r="AA136" s="2" t="s">
        <v>995</v>
      </c>
      <c r="AB136" s="3">
        <v>45688</v>
      </c>
      <c r="AC136" s="2">
        <v>3900000</v>
      </c>
      <c r="AD136" s="2" t="s">
        <v>39</v>
      </c>
      <c r="AE136" s="2">
        <v>0</v>
      </c>
      <c r="AF136" s="4">
        <v>3439200</v>
      </c>
      <c r="AG136" s="8">
        <v>35217.410000000003</v>
      </c>
      <c r="AH136" s="8">
        <f t="shared" si="8"/>
        <v>37862.237491</v>
      </c>
      <c r="AI136" s="8">
        <f t="shared" si="9"/>
        <v>2644.8274909999964</v>
      </c>
      <c r="AJ136" s="8">
        <f t="shared" si="10"/>
        <v>37122.671881000002</v>
      </c>
      <c r="AK136" s="8">
        <f t="shared" si="11"/>
        <v>1905.2618809999985</v>
      </c>
    </row>
    <row r="137" spans="1:37" x14ac:dyDescent="0.3">
      <c r="A137" s="1">
        <v>21662</v>
      </c>
      <c r="B137" s="2" t="s">
        <v>2797</v>
      </c>
      <c r="C137" s="2" t="s">
        <v>100</v>
      </c>
      <c r="D137" s="2" t="s">
        <v>101</v>
      </c>
      <c r="E137" s="1">
        <v>1</v>
      </c>
      <c r="F137" s="2" t="s">
        <v>2798</v>
      </c>
      <c r="G137" s="2" t="s">
        <v>451</v>
      </c>
      <c r="H137" s="2" t="s">
        <v>31</v>
      </c>
      <c r="I137" s="2" t="s">
        <v>664</v>
      </c>
      <c r="J137" s="2" t="s">
        <v>309</v>
      </c>
      <c r="K137" s="10" t="s">
        <v>2833</v>
      </c>
      <c r="L137" s="2" t="s">
        <v>2799</v>
      </c>
      <c r="M137" s="2" t="s">
        <v>2648</v>
      </c>
      <c r="N137" s="2" t="s">
        <v>31</v>
      </c>
      <c r="O137" s="2" t="s">
        <v>31</v>
      </c>
      <c r="P137" s="2" t="s">
        <v>2800</v>
      </c>
      <c r="Q137" s="2" t="s">
        <v>59</v>
      </c>
      <c r="R137" s="2" t="s">
        <v>48</v>
      </c>
      <c r="S137" s="2" t="s">
        <v>31</v>
      </c>
      <c r="T137" s="2" t="s">
        <v>60</v>
      </c>
      <c r="U137" s="2">
        <v>0</v>
      </c>
      <c r="V137" s="10">
        <v>1920</v>
      </c>
      <c r="W137" s="10">
        <v>1368</v>
      </c>
      <c r="X137" s="11">
        <v>0</v>
      </c>
      <c r="Y137" s="11">
        <v>1</v>
      </c>
      <c r="Z137" s="2" t="s">
        <v>447</v>
      </c>
      <c r="AA137" s="2" t="s">
        <v>2801</v>
      </c>
      <c r="AB137" s="3">
        <v>45412</v>
      </c>
      <c r="AC137" s="2">
        <v>1100000</v>
      </c>
      <c r="AD137" s="2" t="s">
        <v>39</v>
      </c>
      <c r="AE137" s="2">
        <v>19.98</v>
      </c>
      <c r="AF137" s="4">
        <v>1011600</v>
      </c>
      <c r="AG137" s="8">
        <v>10358.780000000001</v>
      </c>
      <c r="AH137" s="8">
        <f t="shared" si="8"/>
        <v>11136.724378000001</v>
      </c>
      <c r="AI137" s="8">
        <f t="shared" si="9"/>
        <v>777.94437800000014</v>
      </c>
      <c r="AJ137" s="8">
        <f t="shared" si="10"/>
        <v>10919.189998000002</v>
      </c>
      <c r="AK137" s="8">
        <f t="shared" si="11"/>
        <v>560.409998000001</v>
      </c>
    </row>
    <row r="138" spans="1:37" x14ac:dyDescent="0.3">
      <c r="A138" s="1">
        <v>21663</v>
      </c>
      <c r="B138" s="2" t="s">
        <v>2802</v>
      </c>
      <c r="C138" s="2" t="s">
        <v>100</v>
      </c>
      <c r="D138" s="2" t="s">
        <v>101</v>
      </c>
      <c r="E138" s="1">
        <v>1</v>
      </c>
      <c r="F138" s="2" t="s">
        <v>2803</v>
      </c>
      <c r="G138" s="2" t="s">
        <v>451</v>
      </c>
      <c r="H138" s="2" t="s">
        <v>31</v>
      </c>
      <c r="I138" s="2" t="s">
        <v>664</v>
      </c>
      <c r="J138" s="2" t="s">
        <v>299</v>
      </c>
      <c r="K138" s="10" t="s">
        <v>2833</v>
      </c>
      <c r="L138" s="2" t="s">
        <v>2647</v>
      </c>
      <c r="M138" s="2" t="s">
        <v>2804</v>
      </c>
      <c r="N138" s="2" t="s">
        <v>2805</v>
      </c>
      <c r="O138" s="2" t="s">
        <v>2671</v>
      </c>
      <c r="P138" s="2" t="s">
        <v>2806</v>
      </c>
      <c r="Q138" s="2" t="s">
        <v>59</v>
      </c>
      <c r="R138" s="2" t="s">
        <v>48</v>
      </c>
      <c r="S138" s="2" t="s">
        <v>31</v>
      </c>
      <c r="T138" s="2" t="s">
        <v>60</v>
      </c>
      <c r="U138" s="2">
        <v>0</v>
      </c>
      <c r="V138" s="10">
        <v>1920</v>
      </c>
      <c r="W138" s="10">
        <v>1711</v>
      </c>
      <c r="X138" s="11">
        <v>0</v>
      </c>
      <c r="Y138" s="11">
        <v>1</v>
      </c>
      <c r="Z138" s="2" t="s">
        <v>447</v>
      </c>
      <c r="AA138" s="2" t="s">
        <v>2807</v>
      </c>
      <c r="AB138" s="3">
        <v>45044</v>
      </c>
      <c r="AC138" s="2">
        <v>1950000</v>
      </c>
      <c r="AD138" s="2" t="s">
        <v>107</v>
      </c>
      <c r="AE138" s="2">
        <v>24.99</v>
      </c>
      <c r="AF138" s="4">
        <v>1890400</v>
      </c>
      <c r="AG138" s="8">
        <v>15722.76</v>
      </c>
      <c r="AH138" s="8">
        <f t="shared" si="8"/>
        <v>16903.539276</v>
      </c>
      <c r="AI138" s="8">
        <f t="shared" si="9"/>
        <v>1180.7792759999993</v>
      </c>
      <c r="AJ138" s="8">
        <f t="shared" si="10"/>
        <v>16573.361316000002</v>
      </c>
      <c r="AK138" s="8">
        <f t="shared" si="11"/>
        <v>850.60131600000204</v>
      </c>
    </row>
    <row r="139" spans="1:37" x14ac:dyDescent="0.3">
      <c r="A139" s="1">
        <v>21664</v>
      </c>
      <c r="B139" s="2" t="s">
        <v>2808</v>
      </c>
      <c r="C139" s="2" t="s">
        <v>100</v>
      </c>
      <c r="D139" s="2" t="s">
        <v>101</v>
      </c>
      <c r="E139" s="1">
        <v>1</v>
      </c>
      <c r="F139" s="2" t="s">
        <v>2809</v>
      </c>
      <c r="G139" s="2" t="s">
        <v>451</v>
      </c>
      <c r="H139" s="2" t="s">
        <v>31</v>
      </c>
      <c r="I139" s="2" t="s">
        <v>664</v>
      </c>
      <c r="J139" s="2" t="s">
        <v>314</v>
      </c>
      <c r="K139" s="10" t="s">
        <v>2833</v>
      </c>
      <c r="L139" s="2" t="s">
        <v>2810</v>
      </c>
      <c r="M139" s="2" t="s">
        <v>2650</v>
      </c>
      <c r="N139" s="2" t="s">
        <v>2811</v>
      </c>
      <c r="O139" s="2" t="s">
        <v>2812</v>
      </c>
      <c r="P139" s="2" t="s">
        <v>2813</v>
      </c>
      <c r="Q139" s="2" t="s">
        <v>59</v>
      </c>
      <c r="R139" s="2" t="s">
        <v>48</v>
      </c>
      <c r="S139" s="2" t="s">
        <v>31</v>
      </c>
      <c r="T139" s="2" t="s">
        <v>60</v>
      </c>
      <c r="U139" s="2">
        <v>0</v>
      </c>
      <c r="V139" s="10">
        <v>1920</v>
      </c>
      <c r="W139" s="10">
        <v>1872</v>
      </c>
      <c r="X139" s="11">
        <v>0</v>
      </c>
      <c r="Y139" s="11">
        <v>1</v>
      </c>
      <c r="Z139" s="2" t="s">
        <v>447</v>
      </c>
      <c r="AA139" s="2" t="s">
        <v>2814</v>
      </c>
      <c r="AB139" s="3">
        <v>45124</v>
      </c>
      <c r="AC139" s="2">
        <v>2050000</v>
      </c>
      <c r="AD139" s="2" t="s">
        <v>39</v>
      </c>
      <c r="AE139" s="2">
        <v>27.35</v>
      </c>
      <c r="AF139" s="4">
        <v>2024600</v>
      </c>
      <c r="AG139" s="8">
        <v>20731.900000000001</v>
      </c>
      <c r="AH139" s="8">
        <f t="shared" si="8"/>
        <v>22288.865689999999</v>
      </c>
      <c r="AI139" s="8">
        <f t="shared" si="9"/>
        <v>1556.9656899999973</v>
      </c>
      <c r="AJ139" s="8">
        <f t="shared" si="10"/>
        <v>21853.495790000001</v>
      </c>
      <c r="AK139" s="8">
        <f t="shared" si="11"/>
        <v>1121.5957899999994</v>
      </c>
    </row>
    <row r="140" spans="1:37" x14ac:dyDescent="0.3">
      <c r="A140" s="1">
        <v>21665</v>
      </c>
      <c r="B140" s="2" t="s">
        <v>2815</v>
      </c>
      <c r="C140" s="2" t="s">
        <v>100</v>
      </c>
      <c r="D140" s="2" t="s">
        <v>101</v>
      </c>
      <c r="E140" s="1">
        <v>1</v>
      </c>
      <c r="F140" s="2" t="s">
        <v>2816</v>
      </c>
      <c r="G140" s="2" t="s">
        <v>451</v>
      </c>
      <c r="H140" s="2" t="s">
        <v>31</v>
      </c>
      <c r="I140" s="2" t="s">
        <v>664</v>
      </c>
      <c r="J140" s="2" t="s">
        <v>322</v>
      </c>
      <c r="K140" s="10" t="s">
        <v>2833</v>
      </c>
      <c r="L140" s="2" t="s">
        <v>2764</v>
      </c>
      <c r="M140" s="2" t="s">
        <v>2817</v>
      </c>
      <c r="N140" s="2" t="s">
        <v>31</v>
      </c>
      <c r="O140" s="2" t="s">
        <v>31</v>
      </c>
      <c r="P140" s="2" t="s">
        <v>2818</v>
      </c>
      <c r="Q140" s="2" t="s">
        <v>59</v>
      </c>
      <c r="R140" s="2" t="s">
        <v>48</v>
      </c>
      <c r="S140" s="2" t="s">
        <v>31</v>
      </c>
      <c r="T140" s="2" t="s">
        <v>60</v>
      </c>
      <c r="U140" s="2">
        <v>0</v>
      </c>
      <c r="V140" s="10">
        <v>1920</v>
      </c>
      <c r="W140" s="10">
        <v>1895</v>
      </c>
      <c r="X140" s="11">
        <v>0</v>
      </c>
      <c r="Y140" s="11">
        <v>1</v>
      </c>
      <c r="Z140" s="2" t="s">
        <v>447</v>
      </c>
      <c r="AA140" s="2" t="s">
        <v>2819</v>
      </c>
      <c r="AB140" s="3">
        <v>45077</v>
      </c>
      <c r="AC140" s="2">
        <v>2250000</v>
      </c>
      <c r="AD140" s="2" t="s">
        <v>39</v>
      </c>
      <c r="AE140" s="2">
        <v>27.68</v>
      </c>
      <c r="AF140" s="4">
        <v>2073600</v>
      </c>
      <c r="AG140" s="8">
        <v>21233.66</v>
      </c>
      <c r="AH140" s="8">
        <f t="shared" si="8"/>
        <v>22828.307865999999</v>
      </c>
      <c r="AI140" s="8">
        <f t="shared" si="9"/>
        <v>1594.6478659999993</v>
      </c>
      <c r="AJ140" s="8">
        <f t="shared" si="10"/>
        <v>22382.401006</v>
      </c>
      <c r="AK140" s="8">
        <f t="shared" si="11"/>
        <v>1148.7410060000002</v>
      </c>
    </row>
    <row r="141" spans="1:37" x14ac:dyDescent="0.3">
      <c r="A141" s="1">
        <v>149</v>
      </c>
      <c r="B141" s="2" t="s">
        <v>996</v>
      </c>
      <c r="C141" s="2" t="s">
        <v>471</v>
      </c>
      <c r="D141" s="2" t="s">
        <v>28</v>
      </c>
      <c r="E141" s="1">
        <v>6</v>
      </c>
      <c r="F141" s="2" t="s">
        <v>997</v>
      </c>
      <c r="G141" s="2" t="s">
        <v>458</v>
      </c>
      <c r="H141" s="2" t="s">
        <v>31</v>
      </c>
      <c r="I141" s="2" t="s">
        <v>664</v>
      </c>
      <c r="J141" s="2" t="s">
        <v>31</v>
      </c>
      <c r="K141" s="10" t="s">
        <v>31</v>
      </c>
      <c r="L141" s="2" t="s">
        <v>442</v>
      </c>
      <c r="M141" s="2" t="s">
        <v>31</v>
      </c>
      <c r="N141" s="2" t="s">
        <v>443</v>
      </c>
      <c r="O141" s="2" t="s">
        <v>31</v>
      </c>
      <c r="P141" s="2" t="s">
        <v>556</v>
      </c>
      <c r="Q141" s="2" t="s">
        <v>86</v>
      </c>
      <c r="R141" s="2" t="s">
        <v>48</v>
      </c>
      <c r="S141" s="2" t="s">
        <v>31</v>
      </c>
      <c r="T141" s="2" t="s">
        <v>445</v>
      </c>
      <c r="U141" s="2">
        <v>4459</v>
      </c>
      <c r="V141" s="10">
        <v>1915</v>
      </c>
      <c r="W141" s="10">
        <v>5952</v>
      </c>
      <c r="X141" s="11">
        <v>0</v>
      </c>
      <c r="Y141" s="11">
        <v>6</v>
      </c>
      <c r="Z141" s="2" t="s">
        <v>447</v>
      </c>
      <c r="AA141" s="2" t="s">
        <v>998</v>
      </c>
      <c r="AB141" s="3">
        <v>33960</v>
      </c>
      <c r="AC141" s="2">
        <v>518404</v>
      </c>
      <c r="AD141" s="2" t="s">
        <v>39</v>
      </c>
      <c r="AE141" s="2">
        <v>0</v>
      </c>
      <c r="AF141" s="4">
        <v>3238800</v>
      </c>
      <c r="AG141" s="8">
        <v>33165.31</v>
      </c>
      <c r="AH141" s="8">
        <f t="shared" si="8"/>
        <v>35656.024780999993</v>
      </c>
      <c r="AI141" s="8">
        <f t="shared" si="9"/>
        <v>2490.7147809999951</v>
      </c>
      <c r="AJ141" s="8">
        <f t="shared" si="10"/>
        <v>34959.553270999997</v>
      </c>
      <c r="AK141" s="8">
        <f t="shared" si="11"/>
        <v>1794.2432709999994</v>
      </c>
    </row>
    <row r="142" spans="1:37" x14ac:dyDescent="0.3">
      <c r="A142" s="1">
        <v>150</v>
      </c>
      <c r="B142" s="2" t="s">
        <v>999</v>
      </c>
      <c r="C142" s="2" t="s">
        <v>449</v>
      </c>
      <c r="D142" s="2" t="s">
        <v>101</v>
      </c>
      <c r="E142" s="1">
        <v>3</v>
      </c>
      <c r="F142" s="2" t="s">
        <v>1000</v>
      </c>
      <c r="G142" s="2" t="s">
        <v>532</v>
      </c>
      <c r="H142" s="2" t="s">
        <v>31</v>
      </c>
      <c r="I142" s="2" t="s">
        <v>664</v>
      </c>
      <c r="J142" s="2" t="s">
        <v>31</v>
      </c>
      <c r="K142" s="10" t="s">
        <v>31</v>
      </c>
      <c r="L142" s="2" t="s">
        <v>692</v>
      </c>
      <c r="M142" s="2" t="s">
        <v>31</v>
      </c>
      <c r="N142" s="2" t="s">
        <v>31</v>
      </c>
      <c r="O142" s="2" t="s">
        <v>31</v>
      </c>
      <c r="P142" s="2" t="s">
        <v>1001</v>
      </c>
      <c r="Q142" s="2" t="s">
        <v>59</v>
      </c>
      <c r="R142" s="2" t="s">
        <v>48</v>
      </c>
      <c r="S142" s="2" t="s">
        <v>31</v>
      </c>
      <c r="T142" s="2" t="s">
        <v>60</v>
      </c>
      <c r="U142" s="2">
        <v>4462</v>
      </c>
      <c r="V142" s="10">
        <v>1920</v>
      </c>
      <c r="W142" s="10">
        <v>5847</v>
      </c>
      <c r="X142" s="11">
        <v>0</v>
      </c>
      <c r="Y142" s="11">
        <v>3</v>
      </c>
      <c r="Z142" s="2" t="s">
        <v>447</v>
      </c>
      <c r="AA142" s="2" t="s">
        <v>1002</v>
      </c>
      <c r="AB142" s="3">
        <v>43451</v>
      </c>
      <c r="AC142" s="2">
        <v>3050000</v>
      </c>
      <c r="AD142" s="2" t="s">
        <v>39</v>
      </c>
      <c r="AE142" s="2">
        <v>0</v>
      </c>
      <c r="AF142" s="4">
        <v>3277200</v>
      </c>
      <c r="AG142" s="8">
        <v>33558.53</v>
      </c>
      <c r="AH142" s="8">
        <f t="shared" si="8"/>
        <v>36078.775602999995</v>
      </c>
      <c r="AI142" s="8">
        <f t="shared" si="9"/>
        <v>2520.2456029999958</v>
      </c>
      <c r="AJ142" s="8">
        <f t="shared" si="10"/>
        <v>35374.046473000002</v>
      </c>
      <c r="AK142" s="8">
        <f t="shared" si="11"/>
        <v>1815.5164730000033</v>
      </c>
    </row>
    <row r="143" spans="1:37" x14ac:dyDescent="0.3">
      <c r="A143" s="1">
        <v>20860</v>
      </c>
      <c r="B143" s="2" t="s">
        <v>2782</v>
      </c>
      <c r="C143" s="2" t="s">
        <v>100</v>
      </c>
      <c r="D143" s="2" t="s">
        <v>101</v>
      </c>
      <c r="E143" s="1">
        <v>1</v>
      </c>
      <c r="F143" s="2" t="s">
        <v>2783</v>
      </c>
      <c r="G143" s="2" t="s">
        <v>473</v>
      </c>
      <c r="H143" s="2" t="s">
        <v>31</v>
      </c>
      <c r="I143" s="2" t="s">
        <v>664</v>
      </c>
      <c r="J143" s="2" t="s">
        <v>2666</v>
      </c>
      <c r="K143" s="10" t="s">
        <v>2834</v>
      </c>
      <c r="L143" s="2" t="s">
        <v>2647</v>
      </c>
      <c r="M143" s="2" t="s">
        <v>2651</v>
      </c>
      <c r="N143" s="2" t="s">
        <v>31</v>
      </c>
      <c r="O143" s="2" t="s">
        <v>31</v>
      </c>
      <c r="P143" s="2" t="s">
        <v>2784</v>
      </c>
      <c r="Q143" s="2" t="s">
        <v>59</v>
      </c>
      <c r="R143" s="2" t="s">
        <v>48</v>
      </c>
      <c r="S143" s="2" t="s">
        <v>31</v>
      </c>
      <c r="T143" s="2" t="s">
        <v>60</v>
      </c>
      <c r="U143" s="2">
        <v>0</v>
      </c>
      <c r="V143" s="10">
        <v>1920</v>
      </c>
      <c r="W143" s="10">
        <v>1813</v>
      </c>
      <c r="X143" s="11">
        <v>0</v>
      </c>
      <c r="Y143" s="11">
        <v>1</v>
      </c>
      <c r="Z143" s="2" t="s">
        <v>447</v>
      </c>
      <c r="AA143" s="2" t="s">
        <v>2785</v>
      </c>
      <c r="AB143" s="3">
        <v>42107</v>
      </c>
      <c r="AC143" s="2">
        <v>1792000</v>
      </c>
      <c r="AD143" s="2" t="s">
        <v>107</v>
      </c>
      <c r="AE143" s="2">
        <v>40</v>
      </c>
      <c r="AF143" s="4">
        <v>2526800</v>
      </c>
      <c r="AG143" s="8">
        <v>22239.5</v>
      </c>
      <c r="AH143" s="8">
        <f t="shared" si="8"/>
        <v>23909.686449999997</v>
      </c>
      <c r="AI143" s="8">
        <f t="shared" si="9"/>
        <v>1670.1864499999974</v>
      </c>
      <c r="AJ143" s="8">
        <f t="shared" si="10"/>
        <v>23442.656950000001</v>
      </c>
      <c r="AK143" s="8">
        <f t="shared" si="11"/>
        <v>1203.1569500000005</v>
      </c>
    </row>
    <row r="144" spans="1:37" x14ac:dyDescent="0.3">
      <c r="A144" s="1">
        <v>20861</v>
      </c>
      <c r="B144" s="2" t="s">
        <v>2786</v>
      </c>
      <c r="C144" s="2" t="s">
        <v>100</v>
      </c>
      <c r="D144" s="2" t="s">
        <v>101</v>
      </c>
      <c r="E144" s="1">
        <v>1</v>
      </c>
      <c r="F144" s="2" t="s">
        <v>2787</v>
      </c>
      <c r="G144" s="2" t="s">
        <v>473</v>
      </c>
      <c r="H144" s="2" t="s">
        <v>31</v>
      </c>
      <c r="I144" s="2" t="s">
        <v>664</v>
      </c>
      <c r="J144" s="2" t="s">
        <v>2659</v>
      </c>
      <c r="K144" s="10" t="s">
        <v>2834</v>
      </c>
      <c r="L144" s="2" t="s">
        <v>2645</v>
      </c>
      <c r="M144" s="2" t="s">
        <v>2668</v>
      </c>
      <c r="N144" s="2" t="s">
        <v>31</v>
      </c>
      <c r="O144" s="2" t="s">
        <v>31</v>
      </c>
      <c r="P144" s="2" t="s">
        <v>2788</v>
      </c>
      <c r="Q144" s="2" t="s">
        <v>59</v>
      </c>
      <c r="R144" s="2" t="s">
        <v>48</v>
      </c>
      <c r="S144" s="2" t="s">
        <v>31</v>
      </c>
      <c r="T144" s="2" t="s">
        <v>60</v>
      </c>
      <c r="U144" s="2">
        <v>0</v>
      </c>
      <c r="V144" s="10">
        <v>1920</v>
      </c>
      <c r="W144" s="10">
        <v>1872</v>
      </c>
      <c r="X144" s="11">
        <v>0</v>
      </c>
      <c r="Y144" s="11">
        <v>1</v>
      </c>
      <c r="Z144" s="2" t="s">
        <v>447</v>
      </c>
      <c r="AA144" s="2" t="s">
        <v>2789</v>
      </c>
      <c r="AB144" s="3">
        <v>45611</v>
      </c>
      <c r="AC144" s="2">
        <v>1</v>
      </c>
      <c r="AD144" s="2" t="s">
        <v>107</v>
      </c>
      <c r="AE144" s="2">
        <v>29</v>
      </c>
      <c r="AF144" s="4">
        <v>1826100</v>
      </c>
      <c r="AG144" s="8">
        <v>15064.33</v>
      </c>
      <c r="AH144" s="8">
        <f t="shared" si="8"/>
        <v>16195.661182999998</v>
      </c>
      <c r="AI144" s="8">
        <f t="shared" si="9"/>
        <v>1131.3311829999984</v>
      </c>
      <c r="AJ144" s="8">
        <f t="shared" si="10"/>
        <v>15879.310253</v>
      </c>
      <c r="AK144" s="8">
        <f t="shared" si="11"/>
        <v>814.98025299999972</v>
      </c>
    </row>
    <row r="145" spans="1:37" x14ac:dyDescent="0.3">
      <c r="A145" s="1">
        <v>20862</v>
      </c>
      <c r="B145" s="2" t="s">
        <v>2790</v>
      </c>
      <c r="C145" s="2" t="s">
        <v>100</v>
      </c>
      <c r="D145" s="2" t="s">
        <v>101</v>
      </c>
      <c r="E145" s="1">
        <v>1</v>
      </c>
      <c r="F145" s="2" t="s">
        <v>2791</v>
      </c>
      <c r="G145" s="2" t="s">
        <v>473</v>
      </c>
      <c r="H145" s="2" t="s">
        <v>31</v>
      </c>
      <c r="I145" s="2" t="s">
        <v>664</v>
      </c>
      <c r="J145" s="2" t="s">
        <v>2661</v>
      </c>
      <c r="K145" s="10" t="s">
        <v>2834</v>
      </c>
      <c r="L145" s="2" t="s">
        <v>2655</v>
      </c>
      <c r="M145" s="2" t="s">
        <v>2792</v>
      </c>
      <c r="N145" s="2" t="s">
        <v>31</v>
      </c>
      <c r="O145" s="2" t="s">
        <v>31</v>
      </c>
      <c r="P145" s="2" t="s">
        <v>2793</v>
      </c>
      <c r="Q145" s="2" t="s">
        <v>59</v>
      </c>
      <c r="R145" s="2" t="s">
        <v>48</v>
      </c>
      <c r="S145" s="2" t="s">
        <v>31</v>
      </c>
      <c r="T145" s="2" t="s">
        <v>60</v>
      </c>
      <c r="U145" s="2">
        <v>0</v>
      </c>
      <c r="V145" s="10">
        <v>1920</v>
      </c>
      <c r="W145" s="10">
        <v>1979</v>
      </c>
      <c r="X145" s="11">
        <v>0</v>
      </c>
      <c r="Y145" s="11">
        <v>1</v>
      </c>
      <c r="Z145" s="2" t="s">
        <v>447</v>
      </c>
      <c r="AA145" s="2" t="s">
        <v>2794</v>
      </c>
      <c r="AB145" s="3">
        <v>42947</v>
      </c>
      <c r="AC145" s="2">
        <v>1700000</v>
      </c>
      <c r="AD145" s="2" t="s">
        <v>107</v>
      </c>
      <c r="AE145" s="2">
        <v>31</v>
      </c>
      <c r="AF145" s="4">
        <v>1842500</v>
      </c>
      <c r="AG145" s="8">
        <v>15232.27</v>
      </c>
      <c r="AH145" s="8">
        <f t="shared" si="8"/>
        <v>16376.213476999999</v>
      </c>
      <c r="AI145" s="8">
        <f t="shared" si="9"/>
        <v>1143.9434769999989</v>
      </c>
      <c r="AJ145" s="8">
        <f t="shared" si="10"/>
        <v>16056.335807000001</v>
      </c>
      <c r="AK145" s="8">
        <f t="shared" si="11"/>
        <v>824.06580700000086</v>
      </c>
    </row>
    <row r="146" spans="1:37" x14ac:dyDescent="0.3">
      <c r="A146" s="1">
        <v>152</v>
      </c>
      <c r="B146" s="2" t="s">
        <v>1003</v>
      </c>
      <c r="C146" s="2" t="s">
        <v>371</v>
      </c>
      <c r="D146" s="2" t="s">
        <v>101</v>
      </c>
      <c r="E146" s="1">
        <v>1</v>
      </c>
      <c r="F146" s="2" t="s">
        <v>1004</v>
      </c>
      <c r="G146" s="2" t="s">
        <v>571</v>
      </c>
      <c r="H146" s="2" t="s">
        <v>31</v>
      </c>
      <c r="I146" s="2" t="s">
        <v>664</v>
      </c>
      <c r="J146" s="2" t="s">
        <v>31</v>
      </c>
      <c r="K146" s="10" t="s">
        <v>31</v>
      </c>
      <c r="L146" s="2" t="s">
        <v>1005</v>
      </c>
      <c r="M146" s="2" t="s">
        <v>1006</v>
      </c>
      <c r="N146" s="2" t="s">
        <v>31</v>
      </c>
      <c r="O146" s="2" t="s">
        <v>31</v>
      </c>
      <c r="P146" s="2" t="s">
        <v>1007</v>
      </c>
      <c r="Q146" s="2" t="s">
        <v>59</v>
      </c>
      <c r="R146" s="2" t="s">
        <v>48</v>
      </c>
      <c r="S146" s="2" t="s">
        <v>31</v>
      </c>
      <c r="T146" s="2" t="s">
        <v>60</v>
      </c>
      <c r="U146" s="2">
        <v>14116</v>
      </c>
      <c r="V146" s="10">
        <v>1906</v>
      </c>
      <c r="W146" s="10">
        <v>6287</v>
      </c>
      <c r="X146" s="11">
        <v>0</v>
      </c>
      <c r="Y146" s="11">
        <v>1</v>
      </c>
      <c r="Z146" s="2" t="s">
        <v>380</v>
      </c>
      <c r="AA146" s="2" t="s">
        <v>1008</v>
      </c>
      <c r="AB146" s="3">
        <v>29291</v>
      </c>
      <c r="AC146" s="2">
        <v>150000</v>
      </c>
      <c r="AD146" s="2" t="s">
        <v>107</v>
      </c>
      <c r="AE146" s="2">
        <v>0</v>
      </c>
      <c r="AF146" s="4">
        <v>4691700</v>
      </c>
      <c r="AG146" s="8">
        <v>44408.07</v>
      </c>
      <c r="AH146" s="8">
        <f t="shared" si="8"/>
        <v>47743.116056999999</v>
      </c>
      <c r="AI146" s="8">
        <f t="shared" si="9"/>
        <v>3335.0460569999996</v>
      </c>
      <c r="AJ146" s="8">
        <f t="shared" si="10"/>
        <v>46810.546587000004</v>
      </c>
      <c r="AK146" s="8">
        <f t="shared" si="11"/>
        <v>2402.4765870000047</v>
      </c>
    </row>
    <row r="147" spans="1:37" x14ac:dyDescent="0.3">
      <c r="A147" s="1">
        <v>153</v>
      </c>
      <c r="B147" s="2" t="s">
        <v>1009</v>
      </c>
      <c r="C147" s="2" t="s">
        <v>371</v>
      </c>
      <c r="D147" s="2" t="s">
        <v>101</v>
      </c>
      <c r="E147" s="1">
        <v>1</v>
      </c>
      <c r="F147" s="2" t="s">
        <v>1010</v>
      </c>
      <c r="G147" s="2" t="s">
        <v>1011</v>
      </c>
      <c r="H147" s="2" t="s">
        <v>31</v>
      </c>
      <c r="I147" s="2" t="s">
        <v>343</v>
      </c>
      <c r="J147" s="2" t="s">
        <v>31</v>
      </c>
      <c r="K147" s="10" t="s">
        <v>31</v>
      </c>
      <c r="L147" s="2" t="s">
        <v>1012</v>
      </c>
      <c r="M147" s="2" t="s">
        <v>1013</v>
      </c>
      <c r="N147" s="2" t="s">
        <v>31</v>
      </c>
      <c r="O147" s="2" t="s">
        <v>31</v>
      </c>
      <c r="P147" s="2" t="s">
        <v>1014</v>
      </c>
      <c r="Q147" s="2" t="s">
        <v>59</v>
      </c>
      <c r="R147" s="2" t="s">
        <v>48</v>
      </c>
      <c r="S147" s="2" t="s">
        <v>31</v>
      </c>
      <c r="T147" s="2" t="s">
        <v>60</v>
      </c>
      <c r="U147" s="2">
        <v>11001</v>
      </c>
      <c r="V147" s="10">
        <v>1890</v>
      </c>
      <c r="W147" s="10">
        <v>6494</v>
      </c>
      <c r="X147" s="11">
        <v>0</v>
      </c>
      <c r="Y147" s="11">
        <v>1</v>
      </c>
      <c r="Z147" s="2" t="s">
        <v>380</v>
      </c>
      <c r="AA147" s="2" t="s">
        <v>1015</v>
      </c>
      <c r="AB147" s="3">
        <v>41684</v>
      </c>
      <c r="AC147" s="2">
        <v>2520000</v>
      </c>
      <c r="AD147" s="2" t="s">
        <v>107</v>
      </c>
      <c r="AE147" s="2">
        <v>0</v>
      </c>
      <c r="AF147" s="4">
        <v>5217300</v>
      </c>
      <c r="AG147" s="8">
        <v>49790.22</v>
      </c>
      <c r="AH147" s="8">
        <f t="shared" si="8"/>
        <v>53529.465521999999</v>
      </c>
      <c r="AI147" s="8">
        <f t="shared" si="9"/>
        <v>3739.2455219999974</v>
      </c>
      <c r="AJ147" s="8">
        <f t="shared" si="10"/>
        <v>52483.870902000002</v>
      </c>
      <c r="AK147" s="8">
        <f t="shared" si="11"/>
        <v>2693.6509020000012</v>
      </c>
    </row>
    <row r="148" spans="1:37" x14ac:dyDescent="0.3">
      <c r="A148" s="1">
        <v>154</v>
      </c>
      <c r="B148" s="2" t="s">
        <v>1016</v>
      </c>
      <c r="C148" s="2" t="s">
        <v>1017</v>
      </c>
      <c r="D148" s="2" t="s">
        <v>101</v>
      </c>
      <c r="E148" s="1" t="s">
        <v>31</v>
      </c>
      <c r="F148" s="2" t="s">
        <v>1018</v>
      </c>
      <c r="G148" s="2" t="s">
        <v>1019</v>
      </c>
      <c r="H148" s="2" t="s">
        <v>31</v>
      </c>
      <c r="I148" s="2" t="s">
        <v>901</v>
      </c>
      <c r="J148" s="2" t="s">
        <v>31</v>
      </c>
      <c r="K148" s="10" t="s">
        <v>31</v>
      </c>
      <c r="L148" s="2" t="s">
        <v>442</v>
      </c>
      <c r="M148" s="2" t="s">
        <v>31</v>
      </c>
      <c r="N148" s="2" t="s">
        <v>443</v>
      </c>
      <c r="O148" s="2" t="s">
        <v>31</v>
      </c>
      <c r="P148" s="2" t="s">
        <v>1020</v>
      </c>
      <c r="Q148" s="2" t="s">
        <v>86</v>
      </c>
      <c r="R148" s="2" t="s">
        <v>48</v>
      </c>
      <c r="S148" s="2" t="s">
        <v>31</v>
      </c>
      <c r="T148" s="2" t="s">
        <v>445</v>
      </c>
      <c r="U148" s="2">
        <v>8420</v>
      </c>
      <c r="V148" s="10" t="s">
        <v>31</v>
      </c>
      <c r="W148" s="10">
        <v>0</v>
      </c>
      <c r="X148" s="11" t="s">
        <v>31</v>
      </c>
      <c r="Y148" s="11" t="s">
        <v>31</v>
      </c>
      <c r="Z148" s="2" t="s">
        <v>380</v>
      </c>
      <c r="AA148" s="2" t="s">
        <v>1021</v>
      </c>
      <c r="AB148" s="3">
        <v>29021</v>
      </c>
      <c r="AC148" s="2">
        <v>1</v>
      </c>
      <c r="AD148" s="2" t="s">
        <v>39</v>
      </c>
      <c r="AE148" s="2" t="s">
        <v>31</v>
      </c>
      <c r="AF148" s="4">
        <v>1861800</v>
      </c>
      <c r="AG148" s="8">
        <v>19064.830000000002</v>
      </c>
      <c r="AH148" s="8">
        <f t="shared" si="8"/>
        <v>20496.598733000003</v>
      </c>
      <c r="AI148" s="8">
        <f t="shared" si="9"/>
        <v>1431.7687330000008</v>
      </c>
      <c r="AJ148" s="8">
        <f t="shared" si="10"/>
        <v>20096.237303000002</v>
      </c>
      <c r="AK148" s="8">
        <f t="shared" si="11"/>
        <v>1031.407303</v>
      </c>
    </row>
    <row r="149" spans="1:37" x14ac:dyDescent="0.3">
      <c r="A149" s="1">
        <v>155</v>
      </c>
      <c r="B149" s="2" t="s">
        <v>1022</v>
      </c>
      <c r="C149" s="2" t="s">
        <v>371</v>
      </c>
      <c r="D149" s="2" t="s">
        <v>101</v>
      </c>
      <c r="E149" s="1">
        <v>1</v>
      </c>
      <c r="F149" s="2" t="s">
        <v>1023</v>
      </c>
      <c r="G149" s="2" t="s">
        <v>473</v>
      </c>
      <c r="H149" s="2" t="s">
        <v>31</v>
      </c>
      <c r="I149" s="2" t="s">
        <v>901</v>
      </c>
      <c r="J149" s="2" t="s">
        <v>31</v>
      </c>
      <c r="K149" s="10" t="s">
        <v>31</v>
      </c>
      <c r="L149" s="2" t="s">
        <v>442</v>
      </c>
      <c r="M149" s="2" t="s">
        <v>31</v>
      </c>
      <c r="N149" s="2" t="s">
        <v>443</v>
      </c>
      <c r="O149" s="2" t="s">
        <v>31</v>
      </c>
      <c r="P149" s="2" t="s">
        <v>444</v>
      </c>
      <c r="Q149" s="2" t="s">
        <v>86</v>
      </c>
      <c r="R149" s="2" t="s">
        <v>48</v>
      </c>
      <c r="S149" s="2" t="s">
        <v>31</v>
      </c>
      <c r="T149" s="2" t="s">
        <v>445</v>
      </c>
      <c r="U149" s="2">
        <v>19577</v>
      </c>
      <c r="V149" s="10">
        <v>1910</v>
      </c>
      <c r="W149" s="10">
        <v>5364</v>
      </c>
      <c r="X149" s="11">
        <v>0</v>
      </c>
      <c r="Y149" s="11">
        <v>1</v>
      </c>
      <c r="Z149" s="2" t="s">
        <v>380</v>
      </c>
      <c r="AA149" s="2" t="s">
        <v>1024</v>
      </c>
      <c r="AB149" s="3">
        <v>28272</v>
      </c>
      <c r="AC149" s="2">
        <v>120000</v>
      </c>
      <c r="AD149" s="2" t="s">
        <v>39</v>
      </c>
      <c r="AE149" s="2">
        <v>0</v>
      </c>
      <c r="AF149" s="4">
        <v>4799800</v>
      </c>
      <c r="AG149" s="8">
        <v>49149.95</v>
      </c>
      <c r="AH149" s="8">
        <f t="shared" si="8"/>
        <v>52841.111244999993</v>
      </c>
      <c r="AI149" s="8">
        <f t="shared" si="9"/>
        <v>3691.1612449999957</v>
      </c>
      <c r="AJ149" s="8">
        <f t="shared" si="10"/>
        <v>51808.962294999998</v>
      </c>
      <c r="AK149" s="8">
        <f t="shared" si="11"/>
        <v>2659.0122950000004</v>
      </c>
    </row>
    <row r="150" spans="1:37" x14ac:dyDescent="0.3">
      <c r="A150" s="1">
        <v>156</v>
      </c>
      <c r="B150" s="2" t="s">
        <v>1025</v>
      </c>
      <c r="C150" s="2" t="s">
        <v>417</v>
      </c>
      <c r="D150" s="2" t="s">
        <v>101</v>
      </c>
      <c r="E150" s="1" t="s">
        <v>31</v>
      </c>
      <c r="F150" s="2" t="s">
        <v>1026</v>
      </c>
      <c r="G150" s="2" t="s">
        <v>1027</v>
      </c>
      <c r="H150" s="2" t="s">
        <v>31</v>
      </c>
      <c r="I150" s="2" t="s">
        <v>901</v>
      </c>
      <c r="J150" s="2" t="s">
        <v>31</v>
      </c>
      <c r="K150" s="10" t="s">
        <v>31</v>
      </c>
      <c r="L150" s="2" t="s">
        <v>442</v>
      </c>
      <c r="M150" s="2" t="s">
        <v>31</v>
      </c>
      <c r="N150" s="2" t="s">
        <v>443</v>
      </c>
      <c r="O150" s="2" t="s">
        <v>31</v>
      </c>
      <c r="P150" s="2" t="s">
        <v>1020</v>
      </c>
      <c r="Q150" s="2" t="s">
        <v>86</v>
      </c>
      <c r="R150" s="2" t="s">
        <v>48</v>
      </c>
      <c r="S150" s="2" t="s">
        <v>31</v>
      </c>
      <c r="T150" s="2" t="s">
        <v>445</v>
      </c>
      <c r="U150" s="2">
        <v>19278</v>
      </c>
      <c r="V150" s="10" t="s">
        <v>31</v>
      </c>
      <c r="W150" s="10">
        <v>0</v>
      </c>
      <c r="X150" s="11" t="s">
        <v>31</v>
      </c>
      <c r="Y150" s="11" t="s">
        <v>31</v>
      </c>
      <c r="Z150" s="2" t="s">
        <v>380</v>
      </c>
      <c r="AA150" s="2" t="s">
        <v>1028</v>
      </c>
      <c r="AB150" s="3">
        <v>28272</v>
      </c>
      <c r="AC150" s="2">
        <v>0</v>
      </c>
      <c r="AD150" s="2" t="s">
        <v>39</v>
      </c>
      <c r="AE150" s="2" t="s">
        <v>31</v>
      </c>
      <c r="AF150" s="4">
        <v>2479600</v>
      </c>
      <c r="AG150" s="8">
        <v>25391.1</v>
      </c>
      <c r="AH150" s="8">
        <f t="shared" si="8"/>
        <v>27297.971609999997</v>
      </c>
      <c r="AI150" s="8">
        <f t="shared" si="9"/>
        <v>1906.8716099999983</v>
      </c>
      <c r="AJ150" s="8">
        <f t="shared" si="10"/>
        <v>26764.75851</v>
      </c>
      <c r="AK150" s="8">
        <f t="shared" si="11"/>
        <v>1373.6585100000011</v>
      </c>
    </row>
    <row r="151" spans="1:37" x14ac:dyDescent="0.3">
      <c r="A151" s="1">
        <v>157</v>
      </c>
      <c r="B151" s="2" t="s">
        <v>1029</v>
      </c>
      <c r="C151" s="2" t="s">
        <v>1030</v>
      </c>
      <c r="D151" s="2" t="s">
        <v>1031</v>
      </c>
      <c r="E151" s="1">
        <v>0</v>
      </c>
      <c r="F151" s="2" t="s">
        <v>1032</v>
      </c>
      <c r="G151" s="2" t="s">
        <v>1033</v>
      </c>
      <c r="H151" s="2" t="s">
        <v>31</v>
      </c>
      <c r="I151" s="2" t="s">
        <v>1034</v>
      </c>
      <c r="J151" s="2" t="s">
        <v>31</v>
      </c>
      <c r="K151" s="10" t="s">
        <v>31</v>
      </c>
      <c r="L151" s="2" t="s">
        <v>442</v>
      </c>
      <c r="M151" s="2" t="s">
        <v>31</v>
      </c>
      <c r="N151" s="2" t="s">
        <v>443</v>
      </c>
      <c r="O151" s="2" t="s">
        <v>31</v>
      </c>
      <c r="P151" s="2" t="s">
        <v>444</v>
      </c>
      <c r="Q151" s="2" t="s">
        <v>86</v>
      </c>
      <c r="R151" s="2" t="s">
        <v>48</v>
      </c>
      <c r="S151" s="2" t="s">
        <v>31</v>
      </c>
      <c r="T151" s="2" t="s">
        <v>445</v>
      </c>
      <c r="U151" s="2">
        <v>12914</v>
      </c>
      <c r="V151" s="10">
        <v>1960</v>
      </c>
      <c r="W151" s="10">
        <v>1232</v>
      </c>
      <c r="X151" s="11">
        <v>1</v>
      </c>
      <c r="Y151" s="11">
        <v>0</v>
      </c>
      <c r="Z151" s="2" t="s">
        <v>1036</v>
      </c>
      <c r="AA151" s="2" t="s">
        <v>1035</v>
      </c>
      <c r="AB151" s="3">
        <v>34954</v>
      </c>
      <c r="AC151" s="2">
        <v>575000</v>
      </c>
      <c r="AD151" s="2" t="s">
        <v>39</v>
      </c>
      <c r="AE151" s="2">
        <v>0</v>
      </c>
      <c r="AF151" s="4">
        <v>2964000</v>
      </c>
      <c r="AG151" s="8">
        <v>0</v>
      </c>
      <c r="AH151" s="8">
        <f t="shared" si="8"/>
        <v>0</v>
      </c>
      <c r="AI151" s="8">
        <f t="shared" si="9"/>
        <v>0</v>
      </c>
      <c r="AJ151" s="8">
        <f t="shared" si="10"/>
        <v>0</v>
      </c>
      <c r="AK151" s="8">
        <f t="shared" si="11"/>
        <v>0</v>
      </c>
    </row>
    <row r="152" spans="1:37" x14ac:dyDescent="0.3">
      <c r="A152" s="1">
        <v>158</v>
      </c>
      <c r="B152" s="2" t="s">
        <v>1037</v>
      </c>
      <c r="C152" s="2" t="s">
        <v>1038</v>
      </c>
      <c r="D152" s="2" t="s">
        <v>1031</v>
      </c>
      <c r="E152" s="1" t="s">
        <v>31</v>
      </c>
      <c r="F152" s="2" t="s">
        <v>1039</v>
      </c>
      <c r="G152" s="2" t="s">
        <v>31</v>
      </c>
      <c r="H152" s="2" t="s">
        <v>31</v>
      </c>
      <c r="I152" s="2" t="s">
        <v>1040</v>
      </c>
      <c r="J152" s="2" t="s">
        <v>31</v>
      </c>
      <c r="K152" s="10" t="s">
        <v>31</v>
      </c>
      <c r="L152" s="2" t="s">
        <v>1041</v>
      </c>
      <c r="M152" s="2" t="s">
        <v>31</v>
      </c>
      <c r="N152" s="2" t="s">
        <v>1042</v>
      </c>
      <c r="O152" s="2" t="s">
        <v>31</v>
      </c>
      <c r="P152" s="2" t="s">
        <v>1043</v>
      </c>
      <c r="Q152" s="2" t="s">
        <v>86</v>
      </c>
      <c r="R152" s="2" t="s">
        <v>48</v>
      </c>
      <c r="S152" s="2" t="s">
        <v>31</v>
      </c>
      <c r="T152" s="2" t="s">
        <v>1044</v>
      </c>
      <c r="U152" s="2">
        <v>351228</v>
      </c>
      <c r="V152" s="10" t="s">
        <v>31</v>
      </c>
      <c r="W152" s="10">
        <v>0</v>
      </c>
      <c r="X152" s="11" t="s">
        <v>31</v>
      </c>
      <c r="Y152" s="11" t="s">
        <v>31</v>
      </c>
      <c r="Z152" s="2" t="s">
        <v>1036</v>
      </c>
      <c r="AA152" s="2" t="s">
        <v>1045</v>
      </c>
      <c r="AB152" s="3">
        <v>22795</v>
      </c>
      <c r="AC152" s="2" t="s">
        <v>31</v>
      </c>
      <c r="AD152" s="2" t="s">
        <v>39</v>
      </c>
      <c r="AE152" s="2" t="s">
        <v>31</v>
      </c>
      <c r="AF152" s="4">
        <v>54955900</v>
      </c>
      <c r="AG152" s="8">
        <v>0</v>
      </c>
      <c r="AH152" s="8">
        <f t="shared" si="8"/>
        <v>0</v>
      </c>
      <c r="AI152" s="8">
        <f t="shared" si="9"/>
        <v>0</v>
      </c>
      <c r="AJ152" s="8">
        <f t="shared" si="10"/>
        <v>0</v>
      </c>
      <c r="AK152" s="8">
        <f t="shared" si="11"/>
        <v>0</v>
      </c>
    </row>
    <row r="153" spans="1:37" x14ac:dyDescent="0.3">
      <c r="A153" s="1">
        <v>160</v>
      </c>
      <c r="B153" s="2" t="s">
        <v>1046</v>
      </c>
      <c r="C153" s="2" t="s">
        <v>1047</v>
      </c>
      <c r="D153" s="2" t="s">
        <v>1031</v>
      </c>
      <c r="E153" s="1">
        <v>0</v>
      </c>
      <c r="F153" s="2" t="s">
        <v>1048</v>
      </c>
      <c r="G153" s="2" t="s">
        <v>1049</v>
      </c>
      <c r="H153" s="2" t="s">
        <v>31</v>
      </c>
      <c r="I153" s="2" t="s">
        <v>1040</v>
      </c>
      <c r="J153" s="2" t="s">
        <v>31</v>
      </c>
      <c r="K153" s="10" t="s">
        <v>31</v>
      </c>
      <c r="L153" s="2" t="s">
        <v>555</v>
      </c>
      <c r="M153" s="2" t="s">
        <v>31</v>
      </c>
      <c r="N153" s="2" t="s">
        <v>31</v>
      </c>
      <c r="O153" s="2" t="s">
        <v>31</v>
      </c>
      <c r="P153" s="2" t="s">
        <v>1050</v>
      </c>
      <c r="Q153" s="2" t="s">
        <v>86</v>
      </c>
      <c r="R153" s="2" t="s">
        <v>48</v>
      </c>
      <c r="S153" s="2" t="s">
        <v>31</v>
      </c>
      <c r="T153" s="2" t="s">
        <v>445</v>
      </c>
      <c r="U153" s="2">
        <v>118418</v>
      </c>
      <c r="V153" s="10">
        <v>1930</v>
      </c>
      <c r="W153" s="10">
        <v>145174.07999999999</v>
      </c>
      <c r="X153" s="11">
        <v>6</v>
      </c>
      <c r="Y153" s="11">
        <v>0</v>
      </c>
      <c r="Z153" s="2" t="s">
        <v>1036</v>
      </c>
      <c r="AA153" s="2" t="s">
        <v>1051</v>
      </c>
      <c r="AB153" s="3">
        <v>43846</v>
      </c>
      <c r="AC153" s="2">
        <v>50000000</v>
      </c>
      <c r="AD153" s="2" t="s">
        <v>39</v>
      </c>
      <c r="AE153" s="2">
        <v>0</v>
      </c>
      <c r="AF153" s="4">
        <v>56994600</v>
      </c>
      <c r="AG153" s="8">
        <v>78242.53</v>
      </c>
      <c r="AH153" s="8">
        <f t="shared" si="8"/>
        <v>84118.544002999988</v>
      </c>
      <c r="AI153" s="8">
        <f t="shared" si="9"/>
        <v>5876.0140029999893</v>
      </c>
      <c r="AJ153" s="8">
        <f t="shared" si="10"/>
        <v>82475.450873000009</v>
      </c>
      <c r="AK153" s="8">
        <f t="shared" si="11"/>
        <v>4232.92087300001</v>
      </c>
    </row>
    <row r="154" spans="1:37" x14ac:dyDescent="0.3">
      <c r="A154" s="1">
        <v>165</v>
      </c>
      <c r="B154" s="2" t="s">
        <v>1052</v>
      </c>
      <c r="C154" s="2" t="s">
        <v>1053</v>
      </c>
      <c r="D154" s="2" t="s">
        <v>101</v>
      </c>
      <c r="E154" s="1">
        <v>0</v>
      </c>
      <c r="F154" s="2" t="s">
        <v>1054</v>
      </c>
      <c r="G154" s="2" t="s">
        <v>1055</v>
      </c>
      <c r="H154" s="2" t="s">
        <v>31</v>
      </c>
      <c r="I154" s="2" t="s">
        <v>861</v>
      </c>
      <c r="J154" s="2" t="s">
        <v>31</v>
      </c>
      <c r="K154" s="10" t="s">
        <v>31</v>
      </c>
      <c r="L154" s="2" t="s">
        <v>1056</v>
      </c>
      <c r="M154" s="2" t="s">
        <v>31</v>
      </c>
      <c r="N154" s="2" t="s">
        <v>31</v>
      </c>
      <c r="O154" s="2" t="s">
        <v>31</v>
      </c>
      <c r="P154" s="2" t="s">
        <v>1057</v>
      </c>
      <c r="Q154" s="2" t="s">
        <v>59</v>
      </c>
      <c r="R154" s="2" t="s">
        <v>48</v>
      </c>
      <c r="S154" s="2" t="s">
        <v>31</v>
      </c>
      <c r="T154" s="2" t="s">
        <v>60</v>
      </c>
      <c r="U154" s="2">
        <v>52800</v>
      </c>
      <c r="V154" s="10">
        <v>1900</v>
      </c>
      <c r="W154" s="10">
        <v>27785.96</v>
      </c>
      <c r="X154" s="11">
        <v>1</v>
      </c>
      <c r="Y154" s="11">
        <v>0</v>
      </c>
      <c r="Z154" s="2" t="s">
        <v>380</v>
      </c>
      <c r="AA154" s="2" t="s">
        <v>31</v>
      </c>
      <c r="AB154" s="3" t="s">
        <v>31</v>
      </c>
      <c r="AC154" s="2" t="s">
        <v>31</v>
      </c>
      <c r="AD154" s="2" t="s">
        <v>39</v>
      </c>
      <c r="AE154" s="2">
        <v>0</v>
      </c>
      <c r="AF154" s="4">
        <v>8965000</v>
      </c>
      <c r="AG154" s="8">
        <v>0</v>
      </c>
      <c r="AH154" s="8">
        <f t="shared" si="8"/>
        <v>0</v>
      </c>
      <c r="AI154" s="8">
        <f t="shared" si="9"/>
        <v>0</v>
      </c>
      <c r="AJ154" s="8">
        <f t="shared" si="10"/>
        <v>0</v>
      </c>
      <c r="AK154" s="8">
        <f t="shared" si="11"/>
        <v>0</v>
      </c>
    </row>
    <row r="155" spans="1:37" x14ac:dyDescent="0.3">
      <c r="A155" s="1">
        <v>167</v>
      </c>
      <c r="B155" s="2" t="s">
        <v>1058</v>
      </c>
      <c r="C155" s="2" t="s">
        <v>371</v>
      </c>
      <c r="D155" s="2" t="s">
        <v>101</v>
      </c>
      <c r="E155" s="1">
        <v>2</v>
      </c>
      <c r="F155" s="2" t="s">
        <v>1059</v>
      </c>
      <c r="G155" s="2" t="s">
        <v>465</v>
      </c>
      <c r="H155" s="2" t="s">
        <v>31</v>
      </c>
      <c r="I155" s="2" t="s">
        <v>861</v>
      </c>
      <c r="J155" s="2" t="s">
        <v>31</v>
      </c>
      <c r="K155" s="10" t="s">
        <v>31</v>
      </c>
      <c r="L155" s="2" t="s">
        <v>1060</v>
      </c>
      <c r="M155" s="2" t="s">
        <v>1061</v>
      </c>
      <c r="N155" s="2" t="s">
        <v>31</v>
      </c>
      <c r="O155" s="2" t="s">
        <v>31</v>
      </c>
      <c r="P155" s="2" t="s">
        <v>1062</v>
      </c>
      <c r="Q155" s="2" t="s">
        <v>59</v>
      </c>
      <c r="R155" s="2" t="s">
        <v>48</v>
      </c>
      <c r="S155" s="2" t="s">
        <v>31</v>
      </c>
      <c r="T155" s="2" t="s">
        <v>60</v>
      </c>
      <c r="U155" s="2">
        <v>46649</v>
      </c>
      <c r="V155" s="10">
        <v>1860</v>
      </c>
      <c r="W155" s="10">
        <v>7664</v>
      </c>
      <c r="X155" s="11">
        <v>0</v>
      </c>
      <c r="Y155" s="11">
        <v>2</v>
      </c>
      <c r="Z155" s="2" t="s">
        <v>380</v>
      </c>
      <c r="AA155" s="2" t="s">
        <v>1063</v>
      </c>
      <c r="AB155" s="3">
        <v>37686</v>
      </c>
      <c r="AC155" s="2">
        <v>7400000</v>
      </c>
      <c r="AD155" s="2" t="s">
        <v>39</v>
      </c>
      <c r="AE155" s="2">
        <v>0</v>
      </c>
      <c r="AF155" s="4">
        <v>12315900</v>
      </c>
      <c r="AG155" s="8">
        <v>126114.82</v>
      </c>
      <c r="AH155" s="8">
        <f t="shared" si="8"/>
        <v>135586.04298200001</v>
      </c>
      <c r="AI155" s="8">
        <f t="shared" si="9"/>
        <v>9471.2229820000066</v>
      </c>
      <c r="AJ155" s="8">
        <f t="shared" si="10"/>
        <v>132937.631762</v>
      </c>
      <c r="AK155" s="8">
        <f t="shared" si="11"/>
        <v>6822.8117619999975</v>
      </c>
    </row>
    <row r="156" spans="1:37" x14ac:dyDescent="0.3">
      <c r="A156" s="1">
        <v>168</v>
      </c>
      <c r="B156" s="2" t="s">
        <v>1064</v>
      </c>
      <c r="C156" s="2" t="s">
        <v>371</v>
      </c>
      <c r="D156" s="2" t="s">
        <v>101</v>
      </c>
      <c r="E156" s="1">
        <v>1</v>
      </c>
      <c r="F156" s="2" t="s">
        <v>1065</v>
      </c>
      <c r="G156" s="2" t="s">
        <v>1066</v>
      </c>
      <c r="H156" s="2" t="s">
        <v>31</v>
      </c>
      <c r="I156" s="2" t="s">
        <v>861</v>
      </c>
      <c r="J156" s="2" t="s">
        <v>31</v>
      </c>
      <c r="K156" s="10" t="s">
        <v>31</v>
      </c>
      <c r="L156" s="2" t="s">
        <v>1067</v>
      </c>
      <c r="M156" s="2" t="s">
        <v>1068</v>
      </c>
      <c r="N156" s="2" t="s">
        <v>31</v>
      </c>
      <c r="O156" s="2" t="s">
        <v>31</v>
      </c>
      <c r="P156" s="2" t="s">
        <v>1069</v>
      </c>
      <c r="Q156" s="2" t="s">
        <v>59</v>
      </c>
      <c r="R156" s="2" t="s">
        <v>48</v>
      </c>
      <c r="S156" s="2" t="s">
        <v>31</v>
      </c>
      <c r="T156" s="2" t="s">
        <v>60</v>
      </c>
      <c r="U156" s="2">
        <v>9965</v>
      </c>
      <c r="V156" s="10">
        <v>1941</v>
      </c>
      <c r="W156" s="10">
        <v>3126</v>
      </c>
      <c r="X156" s="11">
        <v>0</v>
      </c>
      <c r="Y156" s="11">
        <v>1</v>
      </c>
      <c r="Z156" s="2" t="s">
        <v>380</v>
      </c>
      <c r="AA156" s="2" t="s">
        <v>1070</v>
      </c>
      <c r="AB156" s="3">
        <v>31439</v>
      </c>
      <c r="AC156" s="2">
        <v>410000</v>
      </c>
      <c r="AD156" s="2" t="s">
        <v>107</v>
      </c>
      <c r="AE156" s="2">
        <v>0</v>
      </c>
      <c r="AF156" s="4">
        <v>3675500</v>
      </c>
      <c r="AG156" s="8">
        <v>34002.19</v>
      </c>
      <c r="AH156" s="8">
        <f t="shared" si="8"/>
        <v>36555.754469</v>
      </c>
      <c r="AI156" s="8">
        <f t="shared" si="9"/>
        <v>2553.5644689999972</v>
      </c>
      <c r="AJ156" s="8">
        <f t="shared" si="10"/>
        <v>35841.708479000001</v>
      </c>
      <c r="AK156" s="8">
        <f t="shared" si="11"/>
        <v>1839.5184789999985</v>
      </c>
    </row>
    <row r="157" spans="1:37" x14ac:dyDescent="0.3">
      <c r="A157" s="1">
        <v>169</v>
      </c>
      <c r="B157" s="2" t="s">
        <v>1071</v>
      </c>
      <c r="C157" s="2" t="s">
        <v>371</v>
      </c>
      <c r="D157" s="2" t="s">
        <v>101</v>
      </c>
      <c r="E157" s="1">
        <v>1</v>
      </c>
      <c r="F157" s="2" t="s">
        <v>1072</v>
      </c>
      <c r="G157" s="2" t="s">
        <v>1073</v>
      </c>
      <c r="H157" s="2" t="s">
        <v>31</v>
      </c>
      <c r="I157" s="2" t="s">
        <v>409</v>
      </c>
      <c r="J157" s="2" t="s">
        <v>31</v>
      </c>
      <c r="K157" s="10" t="s">
        <v>31</v>
      </c>
      <c r="L157" s="2" t="s">
        <v>1074</v>
      </c>
      <c r="M157" s="2" t="s">
        <v>1075</v>
      </c>
      <c r="N157" s="2" t="s">
        <v>31</v>
      </c>
      <c r="O157" s="2" t="s">
        <v>31</v>
      </c>
      <c r="P157" s="2" t="s">
        <v>1076</v>
      </c>
      <c r="Q157" s="2" t="s">
        <v>59</v>
      </c>
      <c r="R157" s="2" t="s">
        <v>48</v>
      </c>
      <c r="S157" s="2" t="s">
        <v>31</v>
      </c>
      <c r="T157" s="2" t="s">
        <v>60</v>
      </c>
      <c r="U157" s="2">
        <v>9970</v>
      </c>
      <c r="V157" s="10">
        <v>1941</v>
      </c>
      <c r="W157" s="10">
        <v>2792</v>
      </c>
      <c r="X157" s="11">
        <v>0</v>
      </c>
      <c r="Y157" s="11">
        <v>1</v>
      </c>
      <c r="Z157" s="2" t="s">
        <v>380</v>
      </c>
      <c r="AA157" s="2" t="s">
        <v>1077</v>
      </c>
      <c r="AB157" s="3">
        <v>43808</v>
      </c>
      <c r="AC157" s="2">
        <v>1</v>
      </c>
      <c r="AD157" s="2" t="s">
        <v>107</v>
      </c>
      <c r="AE157" s="2">
        <v>0</v>
      </c>
      <c r="AF157" s="4">
        <v>3234500</v>
      </c>
      <c r="AG157" s="8">
        <v>29486.35</v>
      </c>
      <c r="AH157" s="8">
        <f t="shared" si="8"/>
        <v>31700.774884999995</v>
      </c>
      <c r="AI157" s="8">
        <f t="shared" si="9"/>
        <v>2214.4248849999967</v>
      </c>
      <c r="AJ157" s="8">
        <f t="shared" si="10"/>
        <v>31081.561535000001</v>
      </c>
      <c r="AK157" s="8">
        <f t="shared" si="11"/>
        <v>1595.2115350000022</v>
      </c>
    </row>
    <row r="158" spans="1:37" x14ac:dyDescent="0.3">
      <c r="A158" s="1">
        <v>170</v>
      </c>
      <c r="B158" s="2" t="s">
        <v>1078</v>
      </c>
      <c r="C158" s="2" t="s">
        <v>371</v>
      </c>
      <c r="D158" s="2" t="s">
        <v>101</v>
      </c>
      <c r="E158" s="1">
        <v>1</v>
      </c>
      <c r="F158" s="2" t="s">
        <v>1079</v>
      </c>
      <c r="G158" s="2" t="s">
        <v>1080</v>
      </c>
      <c r="H158" s="2" t="s">
        <v>31</v>
      </c>
      <c r="I158" s="2" t="s">
        <v>409</v>
      </c>
      <c r="J158" s="2" t="s">
        <v>31</v>
      </c>
      <c r="K158" s="10" t="s">
        <v>31</v>
      </c>
      <c r="L158" s="2" t="s">
        <v>1081</v>
      </c>
      <c r="M158" s="2" t="s">
        <v>1082</v>
      </c>
      <c r="N158" s="2" t="s">
        <v>31</v>
      </c>
      <c r="O158" s="2" t="s">
        <v>31</v>
      </c>
      <c r="P158" s="2" t="s">
        <v>1083</v>
      </c>
      <c r="Q158" s="2" t="s">
        <v>886</v>
      </c>
      <c r="R158" s="2" t="s">
        <v>887</v>
      </c>
      <c r="S158" s="2" t="s">
        <v>31</v>
      </c>
      <c r="T158" s="2" t="s">
        <v>1084</v>
      </c>
      <c r="U158" s="2">
        <v>9966</v>
      </c>
      <c r="V158" s="10">
        <v>1949</v>
      </c>
      <c r="W158" s="10">
        <v>2301</v>
      </c>
      <c r="X158" s="11">
        <v>0</v>
      </c>
      <c r="Y158" s="11">
        <v>1</v>
      </c>
      <c r="Z158" s="2" t="s">
        <v>380</v>
      </c>
      <c r="AA158" s="2" t="s">
        <v>1085</v>
      </c>
      <c r="AB158" s="3">
        <v>42290</v>
      </c>
      <c r="AC158" s="2">
        <v>1</v>
      </c>
      <c r="AD158" s="2" t="s">
        <v>39</v>
      </c>
      <c r="AE158" s="2">
        <v>0</v>
      </c>
      <c r="AF158" s="4">
        <v>3031900</v>
      </c>
      <c r="AG158" s="8">
        <v>31046.66</v>
      </c>
      <c r="AH158" s="8">
        <f t="shared" si="8"/>
        <v>33378.264166000001</v>
      </c>
      <c r="AI158" s="8">
        <f t="shared" si="9"/>
        <v>2331.604166000001</v>
      </c>
      <c r="AJ158" s="8">
        <f t="shared" si="10"/>
        <v>32726.284306000001</v>
      </c>
      <c r="AK158" s="8">
        <f t="shared" si="11"/>
        <v>1679.6243060000015</v>
      </c>
    </row>
    <row r="159" spans="1:37" x14ac:dyDescent="0.3">
      <c r="A159" s="1">
        <v>171</v>
      </c>
      <c r="B159" s="2" t="s">
        <v>1086</v>
      </c>
      <c r="C159" s="2" t="s">
        <v>371</v>
      </c>
      <c r="D159" s="2" t="s">
        <v>101</v>
      </c>
      <c r="E159" s="1">
        <v>1</v>
      </c>
      <c r="F159" s="2" t="s">
        <v>1087</v>
      </c>
      <c r="G159" s="2" t="s">
        <v>390</v>
      </c>
      <c r="H159" s="2" t="s">
        <v>31</v>
      </c>
      <c r="I159" s="2" t="s">
        <v>1034</v>
      </c>
      <c r="J159" s="2" t="s">
        <v>31</v>
      </c>
      <c r="K159" s="10" t="s">
        <v>31</v>
      </c>
      <c r="L159" s="2" t="s">
        <v>1088</v>
      </c>
      <c r="M159" s="2" t="s">
        <v>1089</v>
      </c>
      <c r="N159" s="2" t="s">
        <v>31</v>
      </c>
      <c r="O159" s="2" t="s">
        <v>31</v>
      </c>
      <c r="P159" s="2" t="s">
        <v>1090</v>
      </c>
      <c r="Q159" s="2" t="s">
        <v>59</v>
      </c>
      <c r="R159" s="2" t="s">
        <v>48</v>
      </c>
      <c r="S159" s="2" t="s">
        <v>31</v>
      </c>
      <c r="T159" s="2" t="s">
        <v>60</v>
      </c>
      <c r="U159" s="2">
        <v>9965</v>
      </c>
      <c r="V159" s="10">
        <v>1941</v>
      </c>
      <c r="W159" s="10">
        <v>3716.8000099999999</v>
      </c>
      <c r="X159" s="11">
        <v>0</v>
      </c>
      <c r="Y159" s="11">
        <v>1</v>
      </c>
      <c r="Z159" s="2" t="s">
        <v>380</v>
      </c>
      <c r="AA159" s="2" t="s">
        <v>1091</v>
      </c>
      <c r="AB159" s="3">
        <v>31763</v>
      </c>
      <c r="AC159" s="2">
        <v>635000</v>
      </c>
      <c r="AD159" s="2" t="s">
        <v>107</v>
      </c>
      <c r="AE159" s="2">
        <v>0</v>
      </c>
      <c r="AF159" s="4">
        <v>4007200</v>
      </c>
      <c r="AG159" s="8">
        <v>37398.79</v>
      </c>
      <c r="AH159" s="8">
        <f t="shared" si="8"/>
        <v>40207.439128999999</v>
      </c>
      <c r="AI159" s="8">
        <f t="shared" si="9"/>
        <v>2808.6491289999976</v>
      </c>
      <c r="AJ159" s="8">
        <f t="shared" si="10"/>
        <v>39422.064538999999</v>
      </c>
      <c r="AK159" s="8">
        <f t="shared" si="11"/>
        <v>2023.2745389999982</v>
      </c>
    </row>
    <row r="160" spans="1:37" x14ac:dyDescent="0.3">
      <c r="A160" s="1">
        <v>173</v>
      </c>
      <c r="B160" s="2" t="s">
        <v>1092</v>
      </c>
      <c r="C160" s="2" t="s">
        <v>371</v>
      </c>
      <c r="D160" s="2" t="s">
        <v>101</v>
      </c>
      <c r="E160" s="1">
        <v>1</v>
      </c>
      <c r="F160" s="2" t="s">
        <v>1093</v>
      </c>
      <c r="G160" s="2" t="s">
        <v>1019</v>
      </c>
      <c r="H160" s="2" t="s">
        <v>31</v>
      </c>
      <c r="I160" s="2" t="s">
        <v>409</v>
      </c>
      <c r="J160" s="2" t="s">
        <v>31</v>
      </c>
      <c r="K160" s="10" t="s">
        <v>31</v>
      </c>
      <c r="L160" s="2" t="s">
        <v>1094</v>
      </c>
      <c r="M160" s="2" t="s">
        <v>1095</v>
      </c>
      <c r="N160" s="2" t="s">
        <v>31</v>
      </c>
      <c r="O160" s="2" t="s">
        <v>31</v>
      </c>
      <c r="P160" s="2" t="s">
        <v>1096</v>
      </c>
      <c r="Q160" s="2" t="s">
        <v>59</v>
      </c>
      <c r="R160" s="2" t="s">
        <v>48</v>
      </c>
      <c r="S160" s="2" t="s">
        <v>31</v>
      </c>
      <c r="T160" s="2" t="s">
        <v>60</v>
      </c>
      <c r="U160" s="2">
        <v>32170</v>
      </c>
      <c r="V160" s="10">
        <v>1890</v>
      </c>
      <c r="W160" s="10">
        <v>6826.5</v>
      </c>
      <c r="X160" s="11">
        <v>0</v>
      </c>
      <c r="Y160" s="11">
        <v>1</v>
      </c>
      <c r="Z160" s="2" t="s">
        <v>380</v>
      </c>
      <c r="AA160" s="2" t="s">
        <v>1097</v>
      </c>
      <c r="AB160" s="3">
        <v>39822</v>
      </c>
      <c r="AC160" s="2">
        <v>100</v>
      </c>
      <c r="AD160" s="2" t="s">
        <v>107</v>
      </c>
      <c r="AE160" s="2">
        <v>0</v>
      </c>
      <c r="AF160" s="4">
        <v>6000500</v>
      </c>
      <c r="AG160" s="8">
        <v>57810.19</v>
      </c>
      <c r="AH160" s="8">
        <f t="shared" si="8"/>
        <v>62151.735268999997</v>
      </c>
      <c r="AI160" s="8">
        <f t="shared" si="9"/>
        <v>4341.5452689999947</v>
      </c>
      <c r="AJ160" s="8">
        <f t="shared" si="10"/>
        <v>60937.721279000005</v>
      </c>
      <c r="AK160" s="8">
        <f t="shared" si="11"/>
        <v>3127.5312790000025</v>
      </c>
    </row>
    <row r="161" spans="1:37" x14ac:dyDescent="0.3">
      <c r="A161" s="1">
        <v>174</v>
      </c>
      <c r="B161" s="2" t="s">
        <v>1098</v>
      </c>
      <c r="C161" s="2" t="s">
        <v>371</v>
      </c>
      <c r="D161" s="2" t="s">
        <v>101</v>
      </c>
      <c r="E161" s="1">
        <v>1</v>
      </c>
      <c r="F161" s="2" t="s">
        <v>1099</v>
      </c>
      <c r="G161" s="2" t="s">
        <v>1100</v>
      </c>
      <c r="H161" s="2" t="s">
        <v>31</v>
      </c>
      <c r="I161" s="2" t="s">
        <v>409</v>
      </c>
      <c r="J161" s="2" t="s">
        <v>31</v>
      </c>
      <c r="K161" s="10" t="s">
        <v>31</v>
      </c>
      <c r="L161" s="2" t="s">
        <v>1101</v>
      </c>
      <c r="M161" s="2" t="s">
        <v>1102</v>
      </c>
      <c r="N161" s="2" t="s">
        <v>31</v>
      </c>
      <c r="O161" s="2" t="s">
        <v>31</v>
      </c>
      <c r="P161" s="2" t="s">
        <v>1103</v>
      </c>
      <c r="Q161" s="2" t="s">
        <v>59</v>
      </c>
      <c r="R161" s="2" t="s">
        <v>48</v>
      </c>
      <c r="S161" s="2" t="s">
        <v>31</v>
      </c>
      <c r="T161" s="2" t="s">
        <v>60</v>
      </c>
      <c r="U161" s="2">
        <v>35287</v>
      </c>
      <c r="V161" s="10">
        <v>1851</v>
      </c>
      <c r="W161" s="10">
        <v>6126</v>
      </c>
      <c r="X161" s="11">
        <v>0</v>
      </c>
      <c r="Y161" s="11">
        <v>1</v>
      </c>
      <c r="Z161" s="2" t="s">
        <v>380</v>
      </c>
      <c r="AA161" s="2" t="s">
        <v>1104</v>
      </c>
      <c r="AB161" s="3">
        <v>43997</v>
      </c>
      <c r="AC161" s="2">
        <v>4860000</v>
      </c>
      <c r="AD161" s="2" t="s">
        <v>107</v>
      </c>
      <c r="AE161" s="2">
        <v>0</v>
      </c>
      <c r="AF161" s="4">
        <v>7745600</v>
      </c>
      <c r="AG161" s="8">
        <v>75680.009999999995</v>
      </c>
      <c r="AH161" s="8">
        <f t="shared" si="8"/>
        <v>81363.578750999994</v>
      </c>
      <c r="AI161" s="8">
        <f t="shared" si="9"/>
        <v>5683.5687509999989</v>
      </c>
      <c r="AJ161" s="8">
        <f t="shared" si="10"/>
        <v>79774.298540999996</v>
      </c>
      <c r="AK161" s="8">
        <f t="shared" si="11"/>
        <v>4094.2885410000017</v>
      </c>
    </row>
    <row r="162" spans="1:37" x14ac:dyDescent="0.3">
      <c r="A162" s="1">
        <v>175</v>
      </c>
      <c r="B162" s="2" t="s">
        <v>1105</v>
      </c>
      <c r="C162" s="2" t="s">
        <v>1106</v>
      </c>
      <c r="D162" s="2" t="s">
        <v>101</v>
      </c>
      <c r="E162" s="1" t="s">
        <v>31</v>
      </c>
      <c r="F162" s="2" t="s">
        <v>1107</v>
      </c>
      <c r="G162" s="2" t="s">
        <v>1108</v>
      </c>
      <c r="H162" s="2" t="s">
        <v>31</v>
      </c>
      <c r="I162" s="2" t="s">
        <v>32</v>
      </c>
      <c r="J162" s="2" t="s">
        <v>31</v>
      </c>
      <c r="K162" s="10" t="s">
        <v>31</v>
      </c>
      <c r="L162" s="2" t="s">
        <v>1109</v>
      </c>
      <c r="M162" s="2" t="s">
        <v>31</v>
      </c>
      <c r="N162" s="2" t="s">
        <v>1110</v>
      </c>
      <c r="O162" s="2" t="s">
        <v>31</v>
      </c>
      <c r="P162" s="2" t="s">
        <v>1111</v>
      </c>
      <c r="Q162" s="2" t="s">
        <v>59</v>
      </c>
      <c r="R162" s="2" t="s">
        <v>48</v>
      </c>
      <c r="S162" s="2" t="s">
        <v>31</v>
      </c>
      <c r="T162" s="2" t="s">
        <v>242</v>
      </c>
      <c r="U162" s="2">
        <v>154743</v>
      </c>
      <c r="V162" s="10" t="s">
        <v>31</v>
      </c>
      <c r="W162" s="10">
        <v>0</v>
      </c>
      <c r="X162" s="11" t="s">
        <v>31</v>
      </c>
      <c r="Y162" s="11" t="s">
        <v>31</v>
      </c>
      <c r="Z162" s="2" t="s">
        <v>380</v>
      </c>
      <c r="AA162" s="2" t="s">
        <v>1112</v>
      </c>
      <c r="AB162" s="3">
        <v>27494</v>
      </c>
      <c r="AC162" s="2">
        <v>82000</v>
      </c>
      <c r="AD162" s="2" t="s">
        <v>39</v>
      </c>
      <c r="AE162" s="2" t="s">
        <v>31</v>
      </c>
      <c r="AF162" s="4">
        <v>1966800</v>
      </c>
      <c r="AG162" s="8">
        <v>0</v>
      </c>
      <c r="AH162" s="8">
        <f t="shared" si="8"/>
        <v>0</v>
      </c>
      <c r="AI162" s="8">
        <f t="shared" si="9"/>
        <v>0</v>
      </c>
      <c r="AJ162" s="8">
        <f t="shared" si="10"/>
        <v>0</v>
      </c>
      <c r="AK162" s="8">
        <f t="shared" si="11"/>
        <v>0</v>
      </c>
    </row>
    <row r="163" spans="1:37" x14ac:dyDescent="0.3">
      <c r="A163" s="1">
        <v>176</v>
      </c>
      <c r="B163" s="2" t="s">
        <v>1113</v>
      </c>
      <c r="C163" s="2" t="s">
        <v>371</v>
      </c>
      <c r="D163" s="2" t="s">
        <v>101</v>
      </c>
      <c r="E163" s="1">
        <v>1</v>
      </c>
      <c r="F163" s="2" t="s">
        <v>1114</v>
      </c>
      <c r="G163" s="2" t="s">
        <v>1115</v>
      </c>
      <c r="H163" s="2" t="s">
        <v>31</v>
      </c>
      <c r="I163" s="2" t="s">
        <v>1116</v>
      </c>
      <c r="J163" s="2" t="s">
        <v>31</v>
      </c>
      <c r="K163" s="10" t="s">
        <v>31</v>
      </c>
      <c r="L163" s="2" t="s">
        <v>1117</v>
      </c>
      <c r="M163" s="2" t="s">
        <v>1118</v>
      </c>
      <c r="N163" s="2" t="s">
        <v>1119</v>
      </c>
      <c r="O163" s="2" t="s">
        <v>1120</v>
      </c>
      <c r="P163" s="2" t="s">
        <v>1121</v>
      </c>
      <c r="Q163" s="2" t="s">
        <v>59</v>
      </c>
      <c r="R163" s="2" t="s">
        <v>48</v>
      </c>
      <c r="S163" s="2" t="s">
        <v>31</v>
      </c>
      <c r="T163" s="2" t="s">
        <v>60</v>
      </c>
      <c r="U163" s="2">
        <v>12658</v>
      </c>
      <c r="V163" s="10">
        <v>1933</v>
      </c>
      <c r="W163" s="10">
        <v>4938.5</v>
      </c>
      <c r="X163" s="11">
        <v>0</v>
      </c>
      <c r="Y163" s="11">
        <v>1</v>
      </c>
      <c r="Z163" s="2" t="s">
        <v>380</v>
      </c>
      <c r="AA163" s="2" t="s">
        <v>1122</v>
      </c>
      <c r="AB163" s="3">
        <v>44029</v>
      </c>
      <c r="AC163" s="2">
        <v>1</v>
      </c>
      <c r="AD163" s="2" t="s">
        <v>107</v>
      </c>
      <c r="AE163" s="2">
        <v>0</v>
      </c>
      <c r="AF163" s="4">
        <v>5208500</v>
      </c>
      <c r="AG163" s="8">
        <v>49700.11</v>
      </c>
      <c r="AH163" s="8">
        <f t="shared" si="8"/>
        <v>53432.588260999997</v>
      </c>
      <c r="AI163" s="8">
        <f t="shared" si="9"/>
        <v>3732.4782609999966</v>
      </c>
      <c r="AJ163" s="8">
        <f t="shared" si="10"/>
        <v>52388.885951000004</v>
      </c>
      <c r="AK163" s="8">
        <f t="shared" si="11"/>
        <v>2688.7759510000033</v>
      </c>
    </row>
    <row r="164" spans="1:37" x14ac:dyDescent="0.3">
      <c r="A164" s="1">
        <v>177</v>
      </c>
      <c r="B164" s="2" t="s">
        <v>1123</v>
      </c>
      <c r="C164" s="2" t="s">
        <v>371</v>
      </c>
      <c r="D164" s="2" t="s">
        <v>101</v>
      </c>
      <c r="E164" s="1">
        <v>1</v>
      </c>
      <c r="F164" s="2" t="s">
        <v>1124</v>
      </c>
      <c r="G164" s="2" t="s">
        <v>701</v>
      </c>
      <c r="H164" s="2" t="s">
        <v>31</v>
      </c>
      <c r="I164" s="2" t="s">
        <v>1116</v>
      </c>
      <c r="J164" s="2" t="s">
        <v>31</v>
      </c>
      <c r="K164" s="10" t="s">
        <v>31</v>
      </c>
      <c r="L164" s="2" t="s">
        <v>1125</v>
      </c>
      <c r="M164" s="2" t="s">
        <v>1126</v>
      </c>
      <c r="N164" s="2" t="s">
        <v>31</v>
      </c>
      <c r="O164" s="2" t="s">
        <v>31</v>
      </c>
      <c r="P164" s="2" t="s">
        <v>1127</v>
      </c>
      <c r="Q164" s="2" t="s">
        <v>59</v>
      </c>
      <c r="R164" s="2" t="s">
        <v>48</v>
      </c>
      <c r="S164" s="2" t="s">
        <v>31</v>
      </c>
      <c r="T164" s="2" t="s">
        <v>60</v>
      </c>
      <c r="U164" s="2">
        <v>15901</v>
      </c>
      <c r="V164" s="10">
        <v>1930</v>
      </c>
      <c r="W164" s="10">
        <v>4138.75</v>
      </c>
      <c r="X164" s="11">
        <v>0</v>
      </c>
      <c r="Y164" s="11">
        <v>1</v>
      </c>
      <c r="Z164" s="2" t="s">
        <v>380</v>
      </c>
      <c r="AA164" s="2" t="s">
        <v>1128</v>
      </c>
      <c r="AB164" s="3">
        <v>40046</v>
      </c>
      <c r="AC164" s="2">
        <v>2150000</v>
      </c>
      <c r="AD164" s="2" t="s">
        <v>107</v>
      </c>
      <c r="AE164" s="2">
        <v>0</v>
      </c>
      <c r="AF164" s="4">
        <v>5010000</v>
      </c>
      <c r="AG164" s="8">
        <v>47667.47</v>
      </c>
      <c r="AH164" s="8">
        <f t="shared" si="8"/>
        <v>51247.296996999998</v>
      </c>
      <c r="AI164" s="8">
        <f t="shared" si="9"/>
        <v>3579.8269969999965</v>
      </c>
      <c r="AJ164" s="8">
        <f t="shared" si="10"/>
        <v>50246.280127000005</v>
      </c>
      <c r="AK164" s="8">
        <f t="shared" si="11"/>
        <v>2578.8101270000043</v>
      </c>
    </row>
    <row r="165" spans="1:37" x14ac:dyDescent="0.3">
      <c r="A165" s="1">
        <v>178</v>
      </c>
      <c r="B165" s="2" t="s">
        <v>1129</v>
      </c>
      <c r="C165" s="2" t="s">
        <v>371</v>
      </c>
      <c r="D165" s="2" t="s">
        <v>101</v>
      </c>
      <c r="E165" s="1">
        <v>1</v>
      </c>
      <c r="F165" s="2" t="s">
        <v>1130</v>
      </c>
      <c r="G165" s="2" t="s">
        <v>752</v>
      </c>
      <c r="H165" s="2" t="s">
        <v>31</v>
      </c>
      <c r="I165" s="2" t="s">
        <v>1116</v>
      </c>
      <c r="J165" s="2" t="s">
        <v>31</v>
      </c>
      <c r="K165" s="10" t="s">
        <v>31</v>
      </c>
      <c r="L165" s="2" t="s">
        <v>1131</v>
      </c>
      <c r="M165" s="2" t="s">
        <v>1132</v>
      </c>
      <c r="N165" s="2" t="s">
        <v>31</v>
      </c>
      <c r="O165" s="2" t="s">
        <v>31</v>
      </c>
      <c r="P165" s="2" t="s">
        <v>1133</v>
      </c>
      <c r="Q165" s="2" t="s">
        <v>59</v>
      </c>
      <c r="R165" s="2" t="s">
        <v>48</v>
      </c>
      <c r="S165" s="2" t="s">
        <v>31</v>
      </c>
      <c r="T165" s="2" t="s">
        <v>60</v>
      </c>
      <c r="U165" s="2">
        <v>13972</v>
      </c>
      <c r="V165" s="10">
        <v>1936</v>
      </c>
      <c r="W165" s="10">
        <v>3267</v>
      </c>
      <c r="X165" s="11">
        <v>0</v>
      </c>
      <c r="Y165" s="11">
        <v>1</v>
      </c>
      <c r="Z165" s="2" t="s">
        <v>380</v>
      </c>
      <c r="AA165" s="2" t="s">
        <v>1134</v>
      </c>
      <c r="AB165" s="3">
        <v>45043</v>
      </c>
      <c r="AC165" s="2">
        <v>1</v>
      </c>
      <c r="AD165" s="2" t="s">
        <v>107</v>
      </c>
      <c r="AE165" s="2">
        <v>0</v>
      </c>
      <c r="AF165" s="4">
        <v>4998800</v>
      </c>
      <c r="AG165" s="8">
        <v>47552.78</v>
      </c>
      <c r="AH165" s="8">
        <f t="shared" si="8"/>
        <v>51123.993777999996</v>
      </c>
      <c r="AI165" s="8">
        <f t="shared" si="9"/>
        <v>3571.2137779999975</v>
      </c>
      <c r="AJ165" s="8">
        <f t="shared" si="10"/>
        <v>50125.385397999999</v>
      </c>
      <c r="AK165" s="8">
        <f t="shared" si="11"/>
        <v>2572.6053979999997</v>
      </c>
    </row>
    <row r="166" spans="1:37" x14ac:dyDescent="0.3">
      <c r="A166" s="1">
        <v>179</v>
      </c>
      <c r="B166" s="2" t="s">
        <v>1135</v>
      </c>
      <c r="C166" s="2" t="s">
        <v>371</v>
      </c>
      <c r="D166" s="2" t="s">
        <v>101</v>
      </c>
      <c r="E166" s="1">
        <v>1</v>
      </c>
      <c r="F166" s="2" t="s">
        <v>1136</v>
      </c>
      <c r="G166" s="2" t="s">
        <v>813</v>
      </c>
      <c r="H166" s="2" t="s">
        <v>31</v>
      </c>
      <c r="I166" s="2" t="s">
        <v>1116</v>
      </c>
      <c r="J166" s="2" t="s">
        <v>31</v>
      </c>
      <c r="K166" s="10" t="s">
        <v>31</v>
      </c>
      <c r="L166" s="2" t="s">
        <v>1137</v>
      </c>
      <c r="M166" s="2" t="s">
        <v>1138</v>
      </c>
      <c r="N166" s="2" t="s">
        <v>31</v>
      </c>
      <c r="O166" s="2" t="s">
        <v>31</v>
      </c>
      <c r="P166" s="2" t="s">
        <v>1139</v>
      </c>
      <c r="Q166" s="2" t="s">
        <v>59</v>
      </c>
      <c r="R166" s="2" t="s">
        <v>48</v>
      </c>
      <c r="S166" s="2" t="s">
        <v>31</v>
      </c>
      <c r="T166" s="2" t="s">
        <v>60</v>
      </c>
      <c r="U166" s="2">
        <v>9202</v>
      </c>
      <c r="V166" s="10">
        <v>1936</v>
      </c>
      <c r="W166" s="10">
        <v>3267.6</v>
      </c>
      <c r="X166" s="11">
        <v>0</v>
      </c>
      <c r="Y166" s="11">
        <v>1</v>
      </c>
      <c r="Z166" s="2" t="s">
        <v>380</v>
      </c>
      <c r="AA166" s="2" t="s">
        <v>1140</v>
      </c>
      <c r="AB166" s="3">
        <v>37420</v>
      </c>
      <c r="AC166" s="2">
        <v>100</v>
      </c>
      <c r="AD166" s="2" t="s">
        <v>107</v>
      </c>
      <c r="AE166" s="2">
        <v>0</v>
      </c>
      <c r="AF166" s="4">
        <v>3326700</v>
      </c>
      <c r="AG166" s="8">
        <v>30430.47</v>
      </c>
      <c r="AH166" s="8">
        <f t="shared" si="8"/>
        <v>32715.798297000001</v>
      </c>
      <c r="AI166" s="8">
        <f t="shared" si="9"/>
        <v>2285.328297</v>
      </c>
      <c r="AJ166" s="8">
        <f t="shared" si="10"/>
        <v>32076.758427000001</v>
      </c>
      <c r="AK166" s="8">
        <f t="shared" si="11"/>
        <v>1646.2884269999995</v>
      </c>
    </row>
    <row r="167" spans="1:37" x14ac:dyDescent="0.3">
      <c r="A167" s="1">
        <v>180</v>
      </c>
      <c r="B167" s="2" t="s">
        <v>1141</v>
      </c>
      <c r="C167" s="2" t="s">
        <v>371</v>
      </c>
      <c r="D167" s="2" t="s">
        <v>101</v>
      </c>
      <c r="E167" s="1">
        <v>1</v>
      </c>
      <c r="F167" s="2" t="s">
        <v>1142</v>
      </c>
      <c r="G167" s="2" t="s">
        <v>451</v>
      </c>
      <c r="H167" s="2" t="s">
        <v>31</v>
      </c>
      <c r="I167" s="2" t="s">
        <v>1116</v>
      </c>
      <c r="J167" s="2" t="s">
        <v>31</v>
      </c>
      <c r="K167" s="10" t="s">
        <v>31</v>
      </c>
      <c r="L167" s="2" t="s">
        <v>1143</v>
      </c>
      <c r="M167" s="2" t="s">
        <v>1144</v>
      </c>
      <c r="N167" s="2" t="s">
        <v>31</v>
      </c>
      <c r="O167" s="2" t="s">
        <v>31</v>
      </c>
      <c r="P167" s="2" t="s">
        <v>1145</v>
      </c>
      <c r="Q167" s="2" t="s">
        <v>59</v>
      </c>
      <c r="R167" s="2" t="s">
        <v>48</v>
      </c>
      <c r="S167" s="2" t="s">
        <v>31</v>
      </c>
      <c r="T167" s="2" t="s">
        <v>60</v>
      </c>
      <c r="U167" s="2">
        <v>7443</v>
      </c>
      <c r="V167" s="10">
        <v>1940</v>
      </c>
      <c r="W167" s="10">
        <v>2785</v>
      </c>
      <c r="X167" s="11">
        <v>0</v>
      </c>
      <c r="Y167" s="11">
        <v>1</v>
      </c>
      <c r="Z167" s="2" t="s">
        <v>380</v>
      </c>
      <c r="AA167" s="2" t="s">
        <v>1146</v>
      </c>
      <c r="AB167" s="3">
        <v>42429</v>
      </c>
      <c r="AC167" s="2">
        <v>2350000</v>
      </c>
      <c r="AD167" s="2" t="s">
        <v>107</v>
      </c>
      <c r="AE167" s="2">
        <v>0</v>
      </c>
      <c r="AF167" s="4">
        <v>3410100</v>
      </c>
      <c r="AG167" s="8">
        <v>31284.49</v>
      </c>
      <c r="AH167" s="8">
        <f t="shared" si="8"/>
        <v>33633.955198999996</v>
      </c>
      <c r="AI167" s="8">
        <f t="shared" si="9"/>
        <v>2349.4651989999948</v>
      </c>
      <c r="AJ167" s="8">
        <f t="shared" si="10"/>
        <v>32976.980909000005</v>
      </c>
      <c r="AK167" s="8">
        <f t="shared" si="11"/>
        <v>1692.4909090000037</v>
      </c>
    </row>
    <row r="168" spans="1:37" x14ac:dyDescent="0.3">
      <c r="A168" s="1">
        <v>181</v>
      </c>
      <c r="B168" s="2" t="s">
        <v>1147</v>
      </c>
      <c r="C168" s="2" t="s">
        <v>371</v>
      </c>
      <c r="D168" s="2" t="s">
        <v>101</v>
      </c>
      <c r="E168" s="1">
        <v>1</v>
      </c>
      <c r="F168" s="2" t="s">
        <v>1148</v>
      </c>
      <c r="G168" s="2" t="s">
        <v>532</v>
      </c>
      <c r="H168" s="2" t="s">
        <v>31</v>
      </c>
      <c r="I168" s="2" t="s">
        <v>1116</v>
      </c>
      <c r="J168" s="2" t="s">
        <v>31</v>
      </c>
      <c r="K168" s="10" t="s">
        <v>31</v>
      </c>
      <c r="L168" s="2" t="s">
        <v>1149</v>
      </c>
      <c r="M168" s="2" t="s">
        <v>1150</v>
      </c>
      <c r="N168" s="2" t="s">
        <v>31</v>
      </c>
      <c r="O168" s="2" t="s">
        <v>31</v>
      </c>
      <c r="P168" s="2" t="s">
        <v>1151</v>
      </c>
      <c r="Q168" s="2" t="s">
        <v>59</v>
      </c>
      <c r="R168" s="2" t="s">
        <v>48</v>
      </c>
      <c r="S168" s="2" t="s">
        <v>31</v>
      </c>
      <c r="T168" s="2" t="s">
        <v>60</v>
      </c>
      <c r="U168" s="2">
        <v>10275</v>
      </c>
      <c r="V168" s="10">
        <v>1940</v>
      </c>
      <c r="W168" s="10">
        <v>3461</v>
      </c>
      <c r="X168" s="11">
        <v>0</v>
      </c>
      <c r="Y168" s="11">
        <v>1</v>
      </c>
      <c r="Z168" s="2" t="s">
        <v>380</v>
      </c>
      <c r="AA168" s="2" t="s">
        <v>1152</v>
      </c>
      <c r="AB168" s="3">
        <v>45765</v>
      </c>
      <c r="AC168" s="2">
        <v>1</v>
      </c>
      <c r="AD168" s="2" t="s">
        <v>107</v>
      </c>
      <c r="AE168" s="2">
        <v>0</v>
      </c>
      <c r="AF168" s="4">
        <v>4210900</v>
      </c>
      <c r="AG168" s="8">
        <v>39484.68</v>
      </c>
      <c r="AH168" s="8">
        <f t="shared" si="8"/>
        <v>42449.979467999998</v>
      </c>
      <c r="AI168" s="8">
        <f t="shared" si="9"/>
        <v>2965.2994679999974</v>
      </c>
      <c r="AJ168" s="8">
        <f t="shared" si="10"/>
        <v>41620.801188000005</v>
      </c>
      <c r="AK168" s="8">
        <f t="shared" si="11"/>
        <v>2136.1211880000046</v>
      </c>
    </row>
    <row r="169" spans="1:37" x14ac:dyDescent="0.3">
      <c r="A169" s="1">
        <v>182</v>
      </c>
      <c r="B169" s="2" t="s">
        <v>1153</v>
      </c>
      <c r="C169" s="2" t="s">
        <v>371</v>
      </c>
      <c r="D169" s="2" t="s">
        <v>101</v>
      </c>
      <c r="E169" s="1">
        <v>1</v>
      </c>
      <c r="F169" s="2" t="s">
        <v>1154</v>
      </c>
      <c r="G169" s="2" t="s">
        <v>478</v>
      </c>
      <c r="H169" s="2" t="s">
        <v>31</v>
      </c>
      <c r="I169" s="2" t="s">
        <v>1116</v>
      </c>
      <c r="J169" s="2" t="s">
        <v>31</v>
      </c>
      <c r="K169" s="10" t="s">
        <v>31</v>
      </c>
      <c r="L169" s="2" t="s">
        <v>1155</v>
      </c>
      <c r="M169" s="2" t="s">
        <v>1156</v>
      </c>
      <c r="N169" s="2" t="s">
        <v>31</v>
      </c>
      <c r="O169" s="2" t="s">
        <v>31</v>
      </c>
      <c r="P169" s="2" t="s">
        <v>1157</v>
      </c>
      <c r="Q169" s="2" t="s">
        <v>59</v>
      </c>
      <c r="R169" s="2" t="s">
        <v>48</v>
      </c>
      <c r="S169" s="2" t="s">
        <v>31</v>
      </c>
      <c r="T169" s="2" t="s">
        <v>60</v>
      </c>
      <c r="U169" s="2">
        <v>8209</v>
      </c>
      <c r="V169" s="10">
        <v>1935</v>
      </c>
      <c r="W169" s="10">
        <v>3040</v>
      </c>
      <c r="X169" s="11">
        <v>0</v>
      </c>
      <c r="Y169" s="11">
        <v>1</v>
      </c>
      <c r="Z169" s="2" t="s">
        <v>380</v>
      </c>
      <c r="AA169" s="2" t="s">
        <v>1158</v>
      </c>
      <c r="AB169" s="3">
        <v>44910</v>
      </c>
      <c r="AC169" s="2">
        <v>3300000</v>
      </c>
      <c r="AD169" s="2" t="s">
        <v>107</v>
      </c>
      <c r="AE169" s="2">
        <v>0</v>
      </c>
      <c r="AF169" s="4">
        <v>3849200</v>
      </c>
      <c r="AG169" s="8">
        <v>35780.870000000003</v>
      </c>
      <c r="AH169" s="8">
        <f t="shared" si="8"/>
        <v>38468.013337000004</v>
      </c>
      <c r="AI169" s="8">
        <f t="shared" si="9"/>
        <v>2687.1433370000013</v>
      </c>
      <c r="AJ169" s="8">
        <f t="shared" si="10"/>
        <v>37716.615067000006</v>
      </c>
      <c r="AK169" s="8">
        <f t="shared" si="11"/>
        <v>1935.7450670000035</v>
      </c>
    </row>
    <row r="170" spans="1:37" x14ac:dyDescent="0.3">
      <c r="A170" s="1">
        <v>183</v>
      </c>
      <c r="B170" s="2" t="s">
        <v>1159</v>
      </c>
      <c r="C170" s="2" t="s">
        <v>371</v>
      </c>
      <c r="D170" s="2" t="s">
        <v>101</v>
      </c>
      <c r="E170" s="1">
        <v>1</v>
      </c>
      <c r="F170" s="2" t="s">
        <v>1160</v>
      </c>
      <c r="G170" s="2" t="s">
        <v>1161</v>
      </c>
      <c r="H170" s="2" t="s">
        <v>31</v>
      </c>
      <c r="I170" s="2" t="s">
        <v>343</v>
      </c>
      <c r="J170" s="2" t="s">
        <v>31</v>
      </c>
      <c r="K170" s="10" t="s">
        <v>31</v>
      </c>
      <c r="L170" s="2" t="s">
        <v>1162</v>
      </c>
      <c r="M170" s="2" t="s">
        <v>1163</v>
      </c>
      <c r="N170" s="2" t="s">
        <v>31</v>
      </c>
      <c r="O170" s="2" t="s">
        <v>31</v>
      </c>
      <c r="P170" s="2" t="s">
        <v>1164</v>
      </c>
      <c r="Q170" s="2" t="s">
        <v>59</v>
      </c>
      <c r="R170" s="2" t="s">
        <v>48</v>
      </c>
      <c r="S170" s="2" t="s">
        <v>31</v>
      </c>
      <c r="T170" s="2" t="s">
        <v>1165</v>
      </c>
      <c r="U170" s="2">
        <v>9544</v>
      </c>
      <c r="V170" s="10">
        <v>1912</v>
      </c>
      <c r="W170" s="10">
        <v>3916</v>
      </c>
      <c r="X170" s="11">
        <v>0</v>
      </c>
      <c r="Y170" s="11">
        <v>1</v>
      </c>
      <c r="Z170" s="2" t="s">
        <v>380</v>
      </c>
      <c r="AA170" s="2" t="s">
        <v>1166</v>
      </c>
      <c r="AB170" s="3">
        <v>44536</v>
      </c>
      <c r="AC170" s="2">
        <v>5351350</v>
      </c>
      <c r="AD170" s="2" t="s">
        <v>107</v>
      </c>
      <c r="AE170" s="2">
        <v>0</v>
      </c>
      <c r="AF170" s="4">
        <v>5259900</v>
      </c>
      <c r="AG170" s="8">
        <v>50226.44</v>
      </c>
      <c r="AH170" s="8">
        <f t="shared" si="8"/>
        <v>53998.445643999999</v>
      </c>
      <c r="AI170" s="8">
        <f t="shared" si="9"/>
        <v>3772.0056439999971</v>
      </c>
      <c r="AJ170" s="8">
        <f t="shared" si="10"/>
        <v>52943.690404000001</v>
      </c>
      <c r="AK170" s="8">
        <f t="shared" si="11"/>
        <v>2717.2504039999985</v>
      </c>
    </row>
    <row r="171" spans="1:37" x14ac:dyDescent="0.3">
      <c r="A171" s="1">
        <v>184</v>
      </c>
      <c r="B171" s="2" t="s">
        <v>1167</v>
      </c>
      <c r="C171" s="2" t="s">
        <v>371</v>
      </c>
      <c r="D171" s="2" t="s">
        <v>101</v>
      </c>
      <c r="E171" s="1">
        <v>1</v>
      </c>
      <c r="F171" s="2" t="s">
        <v>1168</v>
      </c>
      <c r="G171" s="2" t="s">
        <v>432</v>
      </c>
      <c r="H171" s="2" t="s">
        <v>31</v>
      </c>
      <c r="I171" s="2" t="s">
        <v>343</v>
      </c>
      <c r="J171" s="2" t="s">
        <v>31</v>
      </c>
      <c r="K171" s="10" t="s">
        <v>31</v>
      </c>
      <c r="L171" s="2" t="s">
        <v>1169</v>
      </c>
      <c r="M171" s="2" t="s">
        <v>1170</v>
      </c>
      <c r="N171" s="2" t="s">
        <v>1171</v>
      </c>
      <c r="O171" s="2" t="s">
        <v>1172</v>
      </c>
      <c r="P171" s="2" t="s">
        <v>1173</v>
      </c>
      <c r="Q171" s="2" t="s">
        <v>59</v>
      </c>
      <c r="R171" s="2" t="s">
        <v>48</v>
      </c>
      <c r="S171" s="2" t="s">
        <v>31</v>
      </c>
      <c r="T171" s="2" t="s">
        <v>60</v>
      </c>
      <c r="U171" s="2">
        <v>9361</v>
      </c>
      <c r="V171" s="10">
        <v>1933</v>
      </c>
      <c r="W171" s="10">
        <v>4136</v>
      </c>
      <c r="X171" s="11">
        <v>0</v>
      </c>
      <c r="Y171" s="11">
        <v>1</v>
      </c>
      <c r="Z171" s="2" t="s">
        <v>380</v>
      </c>
      <c r="AA171" s="2" t="s">
        <v>1174</v>
      </c>
      <c r="AB171" s="3">
        <v>36539</v>
      </c>
      <c r="AC171" s="2">
        <v>994500</v>
      </c>
      <c r="AD171" s="2" t="s">
        <v>107</v>
      </c>
      <c r="AE171" s="2">
        <v>0</v>
      </c>
      <c r="AF171" s="4">
        <v>3575900</v>
      </c>
      <c r="AG171" s="8">
        <v>32982.28</v>
      </c>
      <c r="AH171" s="8">
        <f t="shared" si="8"/>
        <v>35459.249227999993</v>
      </c>
      <c r="AI171" s="8">
        <f t="shared" si="9"/>
        <v>2476.9692279999945</v>
      </c>
      <c r="AJ171" s="8">
        <f t="shared" si="10"/>
        <v>34766.621348000001</v>
      </c>
      <c r="AK171" s="8">
        <f t="shared" si="11"/>
        <v>1784.3413480000017</v>
      </c>
    </row>
    <row r="172" spans="1:37" x14ac:dyDescent="0.3">
      <c r="A172" s="1">
        <v>185</v>
      </c>
      <c r="B172" s="2" t="s">
        <v>1175</v>
      </c>
      <c r="C172" s="2" t="s">
        <v>371</v>
      </c>
      <c r="D172" s="2" t="s">
        <v>101</v>
      </c>
      <c r="E172" s="1">
        <v>1</v>
      </c>
      <c r="F172" s="2" t="s">
        <v>1176</v>
      </c>
      <c r="G172" s="2" t="s">
        <v>1177</v>
      </c>
      <c r="H172" s="2" t="s">
        <v>31</v>
      </c>
      <c r="I172" s="2" t="s">
        <v>343</v>
      </c>
      <c r="J172" s="2" t="s">
        <v>31</v>
      </c>
      <c r="K172" s="10" t="s">
        <v>31</v>
      </c>
      <c r="L172" s="2" t="s">
        <v>1178</v>
      </c>
      <c r="M172" s="2" t="s">
        <v>1179</v>
      </c>
      <c r="N172" s="2" t="s">
        <v>31</v>
      </c>
      <c r="O172" s="2" t="s">
        <v>31</v>
      </c>
      <c r="P172" s="2" t="s">
        <v>1180</v>
      </c>
      <c r="Q172" s="2" t="s">
        <v>59</v>
      </c>
      <c r="R172" s="2" t="s">
        <v>48</v>
      </c>
      <c r="S172" s="2" t="s">
        <v>31</v>
      </c>
      <c r="T172" s="2" t="s">
        <v>60</v>
      </c>
      <c r="U172" s="2">
        <v>10342</v>
      </c>
      <c r="V172" s="10">
        <v>1920</v>
      </c>
      <c r="W172" s="10">
        <v>3324</v>
      </c>
      <c r="X172" s="11">
        <v>0</v>
      </c>
      <c r="Y172" s="11">
        <v>1</v>
      </c>
      <c r="Z172" s="2" t="s">
        <v>380</v>
      </c>
      <c r="AA172" s="2" t="s">
        <v>1181</v>
      </c>
      <c r="AB172" s="3">
        <v>31734</v>
      </c>
      <c r="AC172" s="2">
        <v>520000</v>
      </c>
      <c r="AD172" s="2" t="s">
        <v>107</v>
      </c>
      <c r="AE172" s="2">
        <v>0</v>
      </c>
      <c r="AF172" s="4">
        <v>4131500</v>
      </c>
      <c r="AG172" s="8">
        <v>38671.629999999997</v>
      </c>
      <c r="AH172" s="8">
        <f t="shared" si="8"/>
        <v>41575.869412999993</v>
      </c>
      <c r="AI172" s="8">
        <f t="shared" si="9"/>
        <v>2904.2394129999957</v>
      </c>
      <c r="AJ172" s="8">
        <f t="shared" si="10"/>
        <v>40763.765182999996</v>
      </c>
      <c r="AK172" s="8">
        <f t="shared" si="11"/>
        <v>2092.1351829999985</v>
      </c>
    </row>
    <row r="173" spans="1:37" x14ac:dyDescent="0.3">
      <c r="A173" s="1">
        <v>186</v>
      </c>
      <c r="B173" s="2" t="s">
        <v>1182</v>
      </c>
      <c r="C173" s="2" t="s">
        <v>1017</v>
      </c>
      <c r="D173" s="2" t="s">
        <v>101</v>
      </c>
      <c r="E173" s="1" t="s">
        <v>31</v>
      </c>
      <c r="F173" s="2" t="s">
        <v>1183</v>
      </c>
      <c r="G173" s="2" t="s">
        <v>868</v>
      </c>
      <c r="H173" s="2" t="s">
        <v>31</v>
      </c>
      <c r="I173" s="2" t="s">
        <v>1184</v>
      </c>
      <c r="J173" s="2" t="s">
        <v>31</v>
      </c>
      <c r="K173" s="10" t="s">
        <v>31</v>
      </c>
      <c r="L173" s="2" t="s">
        <v>1185</v>
      </c>
      <c r="M173" s="2" t="s">
        <v>1186</v>
      </c>
      <c r="N173" s="2" t="s">
        <v>1187</v>
      </c>
      <c r="O173" s="2" t="s">
        <v>31</v>
      </c>
      <c r="P173" s="2" t="s">
        <v>1188</v>
      </c>
      <c r="Q173" s="2" t="s">
        <v>1189</v>
      </c>
      <c r="R173" s="2" t="s">
        <v>48</v>
      </c>
      <c r="S173" s="2" t="s">
        <v>31</v>
      </c>
      <c r="T173" s="2" t="s">
        <v>1190</v>
      </c>
      <c r="U173" s="2">
        <v>26263</v>
      </c>
      <c r="V173" s="10" t="s">
        <v>31</v>
      </c>
      <c r="W173" s="10">
        <v>0</v>
      </c>
      <c r="X173" s="11" t="s">
        <v>31</v>
      </c>
      <c r="Y173" s="11" t="s">
        <v>31</v>
      </c>
      <c r="Z173" s="2" t="s">
        <v>380</v>
      </c>
      <c r="AA173" s="2" t="s">
        <v>1191</v>
      </c>
      <c r="AB173" s="3">
        <v>38118</v>
      </c>
      <c r="AC173" s="2">
        <v>100</v>
      </c>
      <c r="AD173" s="2" t="s">
        <v>39</v>
      </c>
      <c r="AE173" s="2" t="s">
        <v>31</v>
      </c>
      <c r="AF173" s="4">
        <v>2607300</v>
      </c>
      <c r="AG173" s="8">
        <v>26698.75</v>
      </c>
      <c r="AH173" s="8">
        <f t="shared" si="8"/>
        <v>28703.826125</v>
      </c>
      <c r="AI173" s="8">
        <f t="shared" si="9"/>
        <v>2005.0761249999996</v>
      </c>
      <c r="AJ173" s="8">
        <f t="shared" si="10"/>
        <v>28143.152375000001</v>
      </c>
      <c r="AK173" s="8">
        <f t="shared" si="11"/>
        <v>1444.4023750000015</v>
      </c>
    </row>
    <row r="174" spans="1:37" x14ac:dyDescent="0.3">
      <c r="A174" s="1">
        <v>187</v>
      </c>
      <c r="B174" s="2" t="s">
        <v>1192</v>
      </c>
      <c r="C174" s="2" t="s">
        <v>371</v>
      </c>
      <c r="D174" s="2" t="s">
        <v>101</v>
      </c>
      <c r="E174" s="1">
        <v>1</v>
      </c>
      <c r="F174" s="2" t="s">
        <v>1193</v>
      </c>
      <c r="G174" s="2" t="s">
        <v>554</v>
      </c>
      <c r="H174" s="2" t="s">
        <v>31</v>
      </c>
      <c r="I174" s="2" t="s">
        <v>1184</v>
      </c>
      <c r="J174" s="2" t="s">
        <v>31</v>
      </c>
      <c r="K174" s="10" t="s">
        <v>31</v>
      </c>
      <c r="L174" s="2" t="s">
        <v>1194</v>
      </c>
      <c r="M174" s="2" t="s">
        <v>1195</v>
      </c>
      <c r="N174" s="2" t="s">
        <v>1196</v>
      </c>
      <c r="O174" s="2" t="s">
        <v>580</v>
      </c>
      <c r="P174" s="2" t="s">
        <v>1197</v>
      </c>
      <c r="Q174" s="2" t="s">
        <v>59</v>
      </c>
      <c r="R174" s="2" t="s">
        <v>48</v>
      </c>
      <c r="S174" s="2" t="s">
        <v>31</v>
      </c>
      <c r="T174" s="2" t="s">
        <v>60</v>
      </c>
      <c r="U174" s="2">
        <v>8215</v>
      </c>
      <c r="V174" s="10">
        <v>1950</v>
      </c>
      <c r="W174" s="10">
        <v>1781</v>
      </c>
      <c r="X174" s="11">
        <v>0</v>
      </c>
      <c r="Y174" s="11">
        <v>1</v>
      </c>
      <c r="Z174" s="2" t="s">
        <v>380</v>
      </c>
      <c r="AA174" s="2" t="s">
        <v>1198</v>
      </c>
      <c r="AB174" s="3">
        <v>35664</v>
      </c>
      <c r="AC174" s="2">
        <v>164500</v>
      </c>
      <c r="AD174" s="2" t="s">
        <v>107</v>
      </c>
      <c r="AE174" s="2">
        <v>0</v>
      </c>
      <c r="AF174" s="4">
        <v>2152800</v>
      </c>
      <c r="AG174" s="8">
        <v>18409.740000000002</v>
      </c>
      <c r="AH174" s="8">
        <f t="shared" si="8"/>
        <v>19792.311474000002</v>
      </c>
      <c r="AI174" s="8">
        <f t="shared" si="9"/>
        <v>1382.5714740000003</v>
      </c>
      <c r="AJ174" s="8">
        <f t="shared" si="10"/>
        <v>19405.706934000002</v>
      </c>
      <c r="AK174" s="8">
        <f t="shared" si="11"/>
        <v>995.96693400000004</v>
      </c>
    </row>
    <row r="175" spans="1:37" x14ac:dyDescent="0.3">
      <c r="A175" s="1">
        <v>188</v>
      </c>
      <c r="B175" s="2" t="s">
        <v>1199</v>
      </c>
      <c r="C175" s="2" t="s">
        <v>371</v>
      </c>
      <c r="D175" s="2" t="s">
        <v>101</v>
      </c>
      <c r="E175" s="1">
        <v>1</v>
      </c>
      <c r="F175" s="2" t="s">
        <v>1200</v>
      </c>
      <c r="G175" s="2" t="s">
        <v>698</v>
      </c>
      <c r="H175" s="2" t="s">
        <v>31</v>
      </c>
      <c r="I175" s="2" t="s">
        <v>1184</v>
      </c>
      <c r="J175" s="2" t="s">
        <v>31</v>
      </c>
      <c r="K175" s="10" t="s">
        <v>31</v>
      </c>
      <c r="L175" s="2" t="s">
        <v>1201</v>
      </c>
      <c r="M175" s="2" t="s">
        <v>1202</v>
      </c>
      <c r="N175" s="2" t="s">
        <v>1203</v>
      </c>
      <c r="O175" s="2" t="s">
        <v>1204</v>
      </c>
      <c r="P175" s="2" t="s">
        <v>1205</v>
      </c>
      <c r="Q175" s="2" t="s">
        <v>59</v>
      </c>
      <c r="R175" s="2" t="s">
        <v>48</v>
      </c>
      <c r="S175" s="2" t="s">
        <v>31</v>
      </c>
      <c r="T175" s="2" t="s">
        <v>60</v>
      </c>
      <c r="U175" s="2">
        <v>8215</v>
      </c>
      <c r="V175" s="10">
        <v>1934</v>
      </c>
      <c r="W175" s="10">
        <v>2281</v>
      </c>
      <c r="X175" s="11">
        <v>0</v>
      </c>
      <c r="Y175" s="11">
        <v>1</v>
      </c>
      <c r="Z175" s="2" t="s">
        <v>380</v>
      </c>
      <c r="AA175" s="2" t="s">
        <v>1206</v>
      </c>
      <c r="AB175" s="3">
        <v>45043</v>
      </c>
      <c r="AC175" s="2">
        <v>1</v>
      </c>
      <c r="AD175" s="2" t="s">
        <v>107</v>
      </c>
      <c r="AE175" s="2">
        <v>0</v>
      </c>
      <c r="AF175" s="4">
        <v>2571900</v>
      </c>
      <c r="AG175" s="8">
        <v>22701.32</v>
      </c>
      <c r="AH175" s="8">
        <f t="shared" si="8"/>
        <v>24406.189132</v>
      </c>
      <c r="AI175" s="8">
        <f t="shared" si="9"/>
        <v>1704.8691319999998</v>
      </c>
      <c r="AJ175" s="8">
        <f t="shared" si="10"/>
        <v>23929.461412000001</v>
      </c>
      <c r="AK175" s="8">
        <f t="shared" si="11"/>
        <v>1228.1414120000009</v>
      </c>
    </row>
    <row r="176" spans="1:37" x14ac:dyDescent="0.3">
      <c r="A176" s="1">
        <v>189</v>
      </c>
      <c r="B176" s="2" t="s">
        <v>1207</v>
      </c>
      <c r="C176" s="2" t="s">
        <v>371</v>
      </c>
      <c r="D176" s="2" t="s">
        <v>101</v>
      </c>
      <c r="E176" s="1">
        <v>1</v>
      </c>
      <c r="F176" s="2" t="s">
        <v>1208</v>
      </c>
      <c r="G176" s="2" t="s">
        <v>507</v>
      </c>
      <c r="H176" s="2" t="s">
        <v>31</v>
      </c>
      <c r="I176" s="2" t="s">
        <v>1184</v>
      </c>
      <c r="J176" s="2" t="s">
        <v>31</v>
      </c>
      <c r="K176" s="10" t="s">
        <v>31</v>
      </c>
      <c r="L176" s="2" t="s">
        <v>1209</v>
      </c>
      <c r="M176" s="2" t="s">
        <v>1210</v>
      </c>
      <c r="N176" s="2" t="s">
        <v>1211</v>
      </c>
      <c r="O176" s="2" t="s">
        <v>1212</v>
      </c>
      <c r="P176" s="2" t="s">
        <v>1213</v>
      </c>
      <c r="Q176" s="2" t="s">
        <v>59</v>
      </c>
      <c r="R176" s="2" t="s">
        <v>48</v>
      </c>
      <c r="S176" s="2" t="s">
        <v>31</v>
      </c>
      <c r="T176" s="2" t="s">
        <v>60</v>
      </c>
      <c r="U176" s="2">
        <v>8215</v>
      </c>
      <c r="V176" s="10">
        <v>1936</v>
      </c>
      <c r="W176" s="10">
        <v>2767.6</v>
      </c>
      <c r="X176" s="11">
        <v>0</v>
      </c>
      <c r="Y176" s="11">
        <v>1</v>
      </c>
      <c r="Z176" s="2" t="s">
        <v>380</v>
      </c>
      <c r="AA176" s="2" t="s">
        <v>1214</v>
      </c>
      <c r="AB176" s="3">
        <v>43524</v>
      </c>
      <c r="AC176" s="2">
        <v>1</v>
      </c>
      <c r="AD176" s="2" t="s">
        <v>107</v>
      </c>
      <c r="AE176" s="2">
        <v>0</v>
      </c>
      <c r="AF176" s="4">
        <v>3070100</v>
      </c>
      <c r="AG176" s="8">
        <v>27802.89</v>
      </c>
      <c r="AH176" s="8">
        <f t="shared" si="8"/>
        <v>29890.887038999997</v>
      </c>
      <c r="AI176" s="8">
        <f t="shared" si="9"/>
        <v>2087.997038999998</v>
      </c>
      <c r="AJ176" s="8">
        <f t="shared" si="10"/>
        <v>29307.026349</v>
      </c>
      <c r="AK176" s="8">
        <f t="shared" si="11"/>
        <v>1504.1363490000003</v>
      </c>
    </row>
    <row r="177" spans="1:37" x14ac:dyDescent="0.3">
      <c r="A177" s="1">
        <v>190</v>
      </c>
      <c r="B177" s="2" t="s">
        <v>1215</v>
      </c>
      <c r="C177" s="2" t="s">
        <v>371</v>
      </c>
      <c r="D177" s="2" t="s">
        <v>101</v>
      </c>
      <c r="E177" s="1">
        <v>1</v>
      </c>
      <c r="F177" s="2" t="s">
        <v>1216</v>
      </c>
      <c r="G177" s="2" t="s">
        <v>752</v>
      </c>
      <c r="H177" s="2" t="s">
        <v>31</v>
      </c>
      <c r="I177" s="2" t="s">
        <v>1184</v>
      </c>
      <c r="J177" s="2" t="s">
        <v>31</v>
      </c>
      <c r="K177" s="10" t="s">
        <v>31</v>
      </c>
      <c r="L177" s="2" t="s">
        <v>1217</v>
      </c>
      <c r="M177" s="2" t="s">
        <v>1218</v>
      </c>
      <c r="N177" s="2" t="s">
        <v>31</v>
      </c>
      <c r="O177" s="2" t="s">
        <v>31</v>
      </c>
      <c r="P177" s="2" t="s">
        <v>1219</v>
      </c>
      <c r="Q177" s="2" t="s">
        <v>59</v>
      </c>
      <c r="R177" s="2" t="s">
        <v>48</v>
      </c>
      <c r="S177" s="2" t="s">
        <v>31</v>
      </c>
      <c r="T177" s="2" t="s">
        <v>60</v>
      </c>
      <c r="U177" s="2">
        <v>8221</v>
      </c>
      <c r="V177" s="10">
        <v>1935</v>
      </c>
      <c r="W177" s="10">
        <v>2856</v>
      </c>
      <c r="X177" s="11">
        <v>0</v>
      </c>
      <c r="Y177" s="11">
        <v>1</v>
      </c>
      <c r="Z177" s="2" t="s">
        <v>380</v>
      </c>
      <c r="AA177" s="2" t="s">
        <v>1220</v>
      </c>
      <c r="AB177" s="3">
        <v>45881</v>
      </c>
      <c r="AC177" s="2">
        <v>100</v>
      </c>
      <c r="AD177" s="2" t="s">
        <v>107</v>
      </c>
      <c r="AE177" s="2">
        <v>0</v>
      </c>
      <c r="AF177" s="4">
        <v>3015200</v>
      </c>
      <c r="AG177" s="8">
        <v>27240.71</v>
      </c>
      <c r="AH177" s="8">
        <f t="shared" si="8"/>
        <v>29286.487320999997</v>
      </c>
      <c r="AI177" s="8">
        <f t="shared" si="9"/>
        <v>2045.7773209999978</v>
      </c>
      <c r="AJ177" s="8">
        <f t="shared" si="10"/>
        <v>28714.432411000002</v>
      </c>
      <c r="AK177" s="8">
        <f t="shared" si="11"/>
        <v>1473.7224110000025</v>
      </c>
    </row>
    <row r="178" spans="1:37" x14ac:dyDescent="0.3">
      <c r="A178" s="1">
        <v>192</v>
      </c>
      <c r="B178" s="2" t="s">
        <v>1221</v>
      </c>
      <c r="C178" s="2" t="s">
        <v>100</v>
      </c>
      <c r="D178" s="2" t="s">
        <v>101</v>
      </c>
      <c r="E178" s="1">
        <v>1</v>
      </c>
      <c r="F178" s="2" t="s">
        <v>1222</v>
      </c>
      <c r="G178" s="2" t="s">
        <v>1223</v>
      </c>
      <c r="H178" s="2" t="s">
        <v>31</v>
      </c>
      <c r="I178" s="2" t="s">
        <v>32</v>
      </c>
      <c r="J178" s="2" t="s">
        <v>66</v>
      </c>
      <c r="K178" s="10" t="s">
        <v>2835</v>
      </c>
      <c r="L178" s="2" t="s">
        <v>1224</v>
      </c>
      <c r="M178" s="2" t="s">
        <v>1225</v>
      </c>
      <c r="N178" s="2" t="s">
        <v>31</v>
      </c>
      <c r="O178" s="2" t="s">
        <v>31</v>
      </c>
      <c r="P178" s="2" t="s">
        <v>1226</v>
      </c>
      <c r="Q178" s="2" t="s">
        <v>59</v>
      </c>
      <c r="R178" s="2" t="s">
        <v>48</v>
      </c>
      <c r="S178" s="2" t="s">
        <v>31</v>
      </c>
      <c r="T178" s="2" t="s">
        <v>60</v>
      </c>
      <c r="U178" s="2">
        <v>0</v>
      </c>
      <c r="V178" s="10">
        <v>1905</v>
      </c>
      <c r="W178" s="10">
        <v>890</v>
      </c>
      <c r="X178" s="11">
        <v>0</v>
      </c>
      <c r="Y178" s="11">
        <v>1</v>
      </c>
      <c r="Z178" s="2" t="s">
        <v>31</v>
      </c>
      <c r="AA178" s="2" t="s">
        <v>1227</v>
      </c>
      <c r="AB178" s="3">
        <v>43749</v>
      </c>
      <c r="AC178" s="2">
        <v>1</v>
      </c>
      <c r="AD178" s="2" t="s">
        <v>107</v>
      </c>
      <c r="AE178" s="2">
        <v>0.36</v>
      </c>
      <c r="AF178" s="4">
        <v>534800</v>
      </c>
      <c r="AG178" s="8">
        <v>1841.42</v>
      </c>
      <c r="AH178" s="8">
        <f t="shared" si="8"/>
        <v>1979.710642</v>
      </c>
      <c r="AI178" s="8">
        <f t="shared" si="9"/>
        <v>138.29064199999993</v>
      </c>
      <c r="AJ178" s="8">
        <f t="shared" si="10"/>
        <v>1941.0408220000002</v>
      </c>
      <c r="AK178" s="8">
        <f t="shared" si="11"/>
        <v>99.620822000000089</v>
      </c>
    </row>
    <row r="179" spans="1:37" x14ac:dyDescent="0.3">
      <c r="A179" s="1">
        <v>193</v>
      </c>
      <c r="B179" s="2" t="s">
        <v>1228</v>
      </c>
      <c r="C179" s="2" t="s">
        <v>100</v>
      </c>
      <c r="D179" s="2" t="s">
        <v>101</v>
      </c>
      <c r="E179" s="1">
        <v>1</v>
      </c>
      <c r="F179" s="2" t="s">
        <v>1229</v>
      </c>
      <c r="G179" s="2" t="s">
        <v>1223</v>
      </c>
      <c r="H179" s="2" t="s">
        <v>31</v>
      </c>
      <c r="I179" s="2" t="s">
        <v>32</v>
      </c>
      <c r="J179" s="2" t="s">
        <v>110</v>
      </c>
      <c r="K179" s="10" t="s">
        <v>2835</v>
      </c>
      <c r="L179" s="2" t="s">
        <v>1230</v>
      </c>
      <c r="M179" s="2" t="s">
        <v>1231</v>
      </c>
      <c r="N179" s="2" t="s">
        <v>1232</v>
      </c>
      <c r="O179" s="2" t="s">
        <v>1233</v>
      </c>
      <c r="P179" s="2" t="s">
        <v>1234</v>
      </c>
      <c r="Q179" s="2" t="s">
        <v>1235</v>
      </c>
      <c r="R179" s="2" t="s">
        <v>1236</v>
      </c>
      <c r="S179" s="2" t="s">
        <v>888</v>
      </c>
      <c r="T179" s="2" t="s">
        <v>1237</v>
      </c>
      <c r="U179" s="2">
        <v>0</v>
      </c>
      <c r="V179" s="10">
        <v>1905</v>
      </c>
      <c r="W179" s="10">
        <v>565</v>
      </c>
      <c r="X179" s="11">
        <v>0</v>
      </c>
      <c r="Y179" s="11">
        <v>1</v>
      </c>
      <c r="Z179" s="2" t="s">
        <v>31</v>
      </c>
      <c r="AA179" s="2" t="s">
        <v>1238</v>
      </c>
      <c r="AB179" s="3">
        <v>36732</v>
      </c>
      <c r="AC179" s="2">
        <v>135000</v>
      </c>
      <c r="AD179" s="2" t="s">
        <v>39</v>
      </c>
      <c r="AE179" s="2">
        <v>0.52</v>
      </c>
      <c r="AF179" s="4">
        <v>400400</v>
      </c>
      <c r="AG179" s="8">
        <v>4100.1000000000004</v>
      </c>
      <c r="AH179" s="8">
        <f t="shared" si="8"/>
        <v>4408.0175100000006</v>
      </c>
      <c r="AI179" s="8">
        <f t="shared" si="9"/>
        <v>307.91751000000022</v>
      </c>
      <c r="AJ179" s="8">
        <f t="shared" si="10"/>
        <v>4321.9154100000005</v>
      </c>
      <c r="AK179" s="8">
        <f t="shared" si="11"/>
        <v>221.81541000000016</v>
      </c>
    </row>
    <row r="180" spans="1:37" x14ac:dyDescent="0.3">
      <c r="A180" s="1">
        <v>194</v>
      </c>
      <c r="B180" s="2" t="s">
        <v>1239</v>
      </c>
      <c r="C180" s="2" t="s">
        <v>100</v>
      </c>
      <c r="D180" s="2" t="s">
        <v>101</v>
      </c>
      <c r="E180" s="1">
        <v>1</v>
      </c>
      <c r="F180" s="2" t="s">
        <v>1240</v>
      </c>
      <c r="G180" s="2" t="s">
        <v>1223</v>
      </c>
      <c r="H180" s="2" t="s">
        <v>31</v>
      </c>
      <c r="I180" s="2" t="s">
        <v>32</v>
      </c>
      <c r="J180" s="2" t="s">
        <v>118</v>
      </c>
      <c r="K180" s="10" t="s">
        <v>2835</v>
      </c>
      <c r="L180" s="2" t="s">
        <v>1241</v>
      </c>
      <c r="M180" s="2" t="s">
        <v>1242</v>
      </c>
      <c r="N180" s="2" t="s">
        <v>31</v>
      </c>
      <c r="O180" s="2" t="s">
        <v>31</v>
      </c>
      <c r="P180" s="2" t="s">
        <v>1243</v>
      </c>
      <c r="Q180" s="2" t="s">
        <v>59</v>
      </c>
      <c r="R180" s="2" t="s">
        <v>48</v>
      </c>
      <c r="S180" s="2" t="s">
        <v>31</v>
      </c>
      <c r="T180" s="2" t="s">
        <v>60</v>
      </c>
      <c r="U180" s="2">
        <v>0</v>
      </c>
      <c r="V180" s="10">
        <v>1905</v>
      </c>
      <c r="W180" s="10">
        <v>625</v>
      </c>
      <c r="X180" s="11">
        <v>0</v>
      </c>
      <c r="Y180" s="11">
        <v>1</v>
      </c>
      <c r="Z180" s="2" t="s">
        <v>31</v>
      </c>
      <c r="AA180" s="2" t="s">
        <v>1244</v>
      </c>
      <c r="AB180" s="3">
        <v>39597</v>
      </c>
      <c r="AC180" s="2">
        <v>1</v>
      </c>
      <c r="AD180" s="2" t="s">
        <v>39</v>
      </c>
      <c r="AE180" s="2">
        <v>0.4</v>
      </c>
      <c r="AF180" s="4">
        <v>484100</v>
      </c>
      <c r="AG180" s="8">
        <v>4957.18</v>
      </c>
      <c r="AH180" s="8">
        <f t="shared" si="8"/>
        <v>5329.4642180000001</v>
      </c>
      <c r="AI180" s="8">
        <f t="shared" si="9"/>
        <v>372.28421799999978</v>
      </c>
      <c r="AJ180" s="8">
        <f t="shared" si="10"/>
        <v>5225.3634380000003</v>
      </c>
      <c r="AK180" s="8">
        <f t="shared" si="11"/>
        <v>268.18343800000002</v>
      </c>
    </row>
    <row r="181" spans="1:37" x14ac:dyDescent="0.3">
      <c r="A181" s="1">
        <v>195</v>
      </c>
      <c r="B181" s="2" t="s">
        <v>1245</v>
      </c>
      <c r="C181" s="2" t="s">
        <v>100</v>
      </c>
      <c r="D181" s="2" t="s">
        <v>101</v>
      </c>
      <c r="E181" s="1">
        <v>1</v>
      </c>
      <c r="F181" s="2" t="s">
        <v>1246</v>
      </c>
      <c r="G181" s="2" t="s">
        <v>1223</v>
      </c>
      <c r="H181" s="2" t="s">
        <v>31</v>
      </c>
      <c r="I181" s="2" t="s">
        <v>32</v>
      </c>
      <c r="J181" s="2" t="s">
        <v>363</v>
      </c>
      <c r="K181" s="10" t="s">
        <v>2835</v>
      </c>
      <c r="L181" s="2" t="s">
        <v>1247</v>
      </c>
      <c r="M181" s="2" t="s">
        <v>1248</v>
      </c>
      <c r="N181" s="2" t="s">
        <v>31</v>
      </c>
      <c r="O181" s="2" t="s">
        <v>31</v>
      </c>
      <c r="P181" s="2" t="s">
        <v>1249</v>
      </c>
      <c r="Q181" s="2" t="s">
        <v>59</v>
      </c>
      <c r="R181" s="2" t="s">
        <v>48</v>
      </c>
      <c r="S181" s="2" t="s">
        <v>31</v>
      </c>
      <c r="T181" s="2" t="s">
        <v>60</v>
      </c>
      <c r="U181" s="2">
        <v>0</v>
      </c>
      <c r="V181" s="10">
        <v>1905</v>
      </c>
      <c r="W181" s="10">
        <v>960</v>
      </c>
      <c r="X181" s="11">
        <v>0</v>
      </c>
      <c r="Y181" s="11">
        <v>1</v>
      </c>
      <c r="Z181" s="2" t="s">
        <v>31</v>
      </c>
      <c r="AA181" s="2" t="s">
        <v>1250</v>
      </c>
      <c r="AB181" s="3">
        <v>44357</v>
      </c>
      <c r="AC181" s="2">
        <v>875000</v>
      </c>
      <c r="AD181" s="2" t="s">
        <v>107</v>
      </c>
      <c r="AE181" s="2">
        <v>2.57</v>
      </c>
      <c r="AF181" s="4">
        <v>776700</v>
      </c>
      <c r="AG181" s="8">
        <v>4318.47</v>
      </c>
      <c r="AH181" s="8">
        <f t="shared" si="8"/>
        <v>4642.7870970000004</v>
      </c>
      <c r="AI181" s="8">
        <f t="shared" si="9"/>
        <v>324.3170970000001</v>
      </c>
      <c r="AJ181" s="8">
        <f t="shared" si="10"/>
        <v>4552.0992270000006</v>
      </c>
      <c r="AK181" s="8">
        <f t="shared" si="11"/>
        <v>233.62922700000036</v>
      </c>
    </row>
    <row r="182" spans="1:37" x14ac:dyDescent="0.3">
      <c r="A182" s="1">
        <v>196</v>
      </c>
      <c r="B182" s="2" t="s">
        <v>1251</v>
      </c>
      <c r="C182" s="2" t="s">
        <v>100</v>
      </c>
      <c r="D182" s="2" t="s">
        <v>101</v>
      </c>
      <c r="E182" s="1">
        <v>1</v>
      </c>
      <c r="F182" s="2" t="s">
        <v>1252</v>
      </c>
      <c r="G182" s="2" t="s">
        <v>1223</v>
      </c>
      <c r="H182" s="2" t="s">
        <v>31</v>
      </c>
      <c r="I182" s="2" t="s">
        <v>32</v>
      </c>
      <c r="J182" s="2" t="s">
        <v>314</v>
      </c>
      <c r="K182" s="10" t="s">
        <v>2835</v>
      </c>
      <c r="L182" s="2" t="s">
        <v>1253</v>
      </c>
      <c r="M182" s="2" t="s">
        <v>1254</v>
      </c>
      <c r="N182" s="2" t="s">
        <v>31</v>
      </c>
      <c r="O182" s="2" t="s">
        <v>31</v>
      </c>
      <c r="P182" s="2" t="s">
        <v>1255</v>
      </c>
      <c r="Q182" s="2" t="s">
        <v>59</v>
      </c>
      <c r="R182" s="2" t="s">
        <v>48</v>
      </c>
      <c r="S182" s="2" t="s">
        <v>31</v>
      </c>
      <c r="T182" s="2" t="s">
        <v>60</v>
      </c>
      <c r="U182" s="2">
        <v>0</v>
      </c>
      <c r="V182" s="10">
        <v>1905</v>
      </c>
      <c r="W182" s="10">
        <v>750</v>
      </c>
      <c r="X182" s="11">
        <v>0</v>
      </c>
      <c r="Y182" s="11">
        <v>1</v>
      </c>
      <c r="Z182" s="2" t="s">
        <v>31</v>
      </c>
      <c r="AA182" s="2" t="s">
        <v>1256</v>
      </c>
      <c r="AB182" s="3">
        <v>38223</v>
      </c>
      <c r="AC182" s="2">
        <v>326000</v>
      </c>
      <c r="AD182" s="2" t="s">
        <v>107</v>
      </c>
      <c r="AE182" s="2">
        <v>1.97</v>
      </c>
      <c r="AF182" s="4">
        <v>585400</v>
      </c>
      <c r="AG182" s="8">
        <v>2359.56</v>
      </c>
      <c r="AH182" s="8">
        <f t="shared" si="8"/>
        <v>2536.762956</v>
      </c>
      <c r="AI182" s="8">
        <f t="shared" si="9"/>
        <v>177.20295600000009</v>
      </c>
      <c r="AJ182" s="8">
        <f t="shared" si="10"/>
        <v>2487.2121959999999</v>
      </c>
      <c r="AK182" s="8">
        <f t="shared" si="11"/>
        <v>127.652196</v>
      </c>
    </row>
    <row r="183" spans="1:37" x14ac:dyDescent="0.3">
      <c r="A183" s="1">
        <v>197</v>
      </c>
      <c r="B183" s="2" t="s">
        <v>1257</v>
      </c>
      <c r="C183" s="2" t="s">
        <v>100</v>
      </c>
      <c r="D183" s="2" t="s">
        <v>101</v>
      </c>
      <c r="E183" s="1">
        <v>1</v>
      </c>
      <c r="F183" s="2" t="s">
        <v>1258</v>
      </c>
      <c r="G183" s="2" t="s">
        <v>1223</v>
      </c>
      <c r="H183" s="2" t="s">
        <v>31</v>
      </c>
      <c r="I183" s="2" t="s">
        <v>32</v>
      </c>
      <c r="J183" s="2" t="s">
        <v>322</v>
      </c>
      <c r="K183" s="10" t="s">
        <v>2835</v>
      </c>
      <c r="L183" s="2" t="s">
        <v>1259</v>
      </c>
      <c r="M183" s="2" t="s">
        <v>1260</v>
      </c>
      <c r="N183" s="2" t="s">
        <v>31</v>
      </c>
      <c r="O183" s="2" t="s">
        <v>31</v>
      </c>
      <c r="P183" s="2" t="s">
        <v>1261</v>
      </c>
      <c r="Q183" s="2" t="s">
        <v>59</v>
      </c>
      <c r="R183" s="2" t="s">
        <v>48</v>
      </c>
      <c r="S183" s="2" t="s">
        <v>31</v>
      </c>
      <c r="T183" s="2" t="s">
        <v>60</v>
      </c>
      <c r="U183" s="2">
        <v>0</v>
      </c>
      <c r="V183" s="10">
        <v>1905</v>
      </c>
      <c r="W183" s="10">
        <v>610</v>
      </c>
      <c r="X183" s="11">
        <v>0</v>
      </c>
      <c r="Y183" s="11">
        <v>1</v>
      </c>
      <c r="Z183" s="2" t="s">
        <v>31</v>
      </c>
      <c r="AA183" s="2" t="s">
        <v>1262</v>
      </c>
      <c r="AB183" s="3">
        <v>32037</v>
      </c>
      <c r="AC183" s="2">
        <v>54900</v>
      </c>
      <c r="AD183" s="2" t="s">
        <v>107</v>
      </c>
      <c r="AE183" s="2">
        <v>1.56</v>
      </c>
      <c r="AF183" s="4">
        <v>461700</v>
      </c>
      <c r="AG183" s="8">
        <v>1092.8699999999999</v>
      </c>
      <c r="AH183" s="8">
        <f t="shared" si="8"/>
        <v>1174.9445369999999</v>
      </c>
      <c r="AI183" s="8">
        <f t="shared" si="9"/>
        <v>82.074536999999964</v>
      </c>
      <c r="AJ183" s="8">
        <f t="shared" si="10"/>
        <v>1151.994267</v>
      </c>
      <c r="AK183" s="8">
        <f t="shared" si="11"/>
        <v>59.124267000000145</v>
      </c>
    </row>
    <row r="184" spans="1:37" x14ac:dyDescent="0.3">
      <c r="A184" s="1">
        <v>198</v>
      </c>
      <c r="B184" s="2" t="s">
        <v>1263</v>
      </c>
      <c r="C184" s="2" t="s">
        <v>100</v>
      </c>
      <c r="D184" s="2" t="s">
        <v>101</v>
      </c>
      <c r="E184" s="1">
        <v>1</v>
      </c>
      <c r="F184" s="2" t="s">
        <v>1264</v>
      </c>
      <c r="G184" s="2" t="s">
        <v>1223</v>
      </c>
      <c r="H184" s="2" t="s">
        <v>31</v>
      </c>
      <c r="I184" s="2" t="s">
        <v>32</v>
      </c>
      <c r="J184" s="2" t="s">
        <v>332</v>
      </c>
      <c r="K184" s="10" t="s">
        <v>2835</v>
      </c>
      <c r="L184" s="2" t="s">
        <v>1265</v>
      </c>
      <c r="M184" s="2" t="s">
        <v>1266</v>
      </c>
      <c r="N184" s="2" t="s">
        <v>1267</v>
      </c>
      <c r="O184" s="2" t="s">
        <v>1268</v>
      </c>
      <c r="P184" s="2" t="s">
        <v>1269</v>
      </c>
      <c r="Q184" s="2" t="s">
        <v>333</v>
      </c>
      <c r="R184" s="2" t="s">
        <v>48</v>
      </c>
      <c r="S184" s="2" t="s">
        <v>31</v>
      </c>
      <c r="T184" s="2" t="s">
        <v>1270</v>
      </c>
      <c r="U184" s="2">
        <v>0</v>
      </c>
      <c r="V184" s="10">
        <v>1905</v>
      </c>
      <c r="W184" s="10">
        <v>620</v>
      </c>
      <c r="X184" s="11">
        <v>0</v>
      </c>
      <c r="Y184" s="11">
        <v>1</v>
      </c>
      <c r="Z184" s="2" t="s">
        <v>31</v>
      </c>
      <c r="AA184" s="2" t="s">
        <v>1271</v>
      </c>
      <c r="AB184" s="3">
        <v>39875</v>
      </c>
      <c r="AC184" s="2">
        <v>1</v>
      </c>
      <c r="AD184" s="2" t="s">
        <v>39</v>
      </c>
      <c r="AE184" s="2">
        <v>1.44</v>
      </c>
      <c r="AF184" s="4">
        <v>468700</v>
      </c>
      <c r="AG184" s="8">
        <v>4799.49</v>
      </c>
      <c r="AH184" s="8">
        <f t="shared" si="8"/>
        <v>5159.9316989999998</v>
      </c>
      <c r="AI184" s="8">
        <f t="shared" si="9"/>
        <v>360.44169899999997</v>
      </c>
      <c r="AJ184" s="8">
        <f t="shared" si="10"/>
        <v>5059.142409</v>
      </c>
      <c r="AK184" s="8">
        <f t="shared" si="11"/>
        <v>259.65240900000026</v>
      </c>
    </row>
    <row r="185" spans="1:37" x14ac:dyDescent="0.3">
      <c r="A185" s="1">
        <v>199</v>
      </c>
      <c r="B185" s="2" t="s">
        <v>1272</v>
      </c>
      <c r="C185" s="2" t="s">
        <v>100</v>
      </c>
      <c r="D185" s="2" t="s">
        <v>101</v>
      </c>
      <c r="E185" s="1">
        <v>1</v>
      </c>
      <c r="F185" s="2" t="s">
        <v>1273</v>
      </c>
      <c r="G185" s="2" t="s">
        <v>1223</v>
      </c>
      <c r="H185" s="2" t="s">
        <v>31</v>
      </c>
      <c r="I185" s="2" t="s">
        <v>32</v>
      </c>
      <c r="J185" s="2" t="s">
        <v>1274</v>
      </c>
      <c r="K185" s="10" t="s">
        <v>2835</v>
      </c>
      <c r="L185" s="2" t="s">
        <v>1275</v>
      </c>
      <c r="M185" s="2" t="s">
        <v>346</v>
      </c>
      <c r="N185" s="2" t="s">
        <v>1276</v>
      </c>
      <c r="O185" s="2" t="s">
        <v>1277</v>
      </c>
      <c r="P185" s="2" t="s">
        <v>1278</v>
      </c>
      <c r="Q185" s="2" t="s">
        <v>59</v>
      </c>
      <c r="R185" s="2" t="s">
        <v>48</v>
      </c>
      <c r="S185" s="2" t="s">
        <v>31</v>
      </c>
      <c r="T185" s="2" t="s">
        <v>60</v>
      </c>
      <c r="U185" s="2">
        <v>0</v>
      </c>
      <c r="V185" s="10">
        <v>1905</v>
      </c>
      <c r="W185" s="10">
        <v>950</v>
      </c>
      <c r="X185" s="11">
        <v>0</v>
      </c>
      <c r="Y185" s="11">
        <v>1</v>
      </c>
      <c r="Z185" s="2" t="s">
        <v>31</v>
      </c>
      <c r="AA185" s="2" t="s">
        <v>1279</v>
      </c>
      <c r="AB185" s="3">
        <v>44923</v>
      </c>
      <c r="AC185" s="2">
        <v>720000</v>
      </c>
      <c r="AD185" s="2" t="s">
        <v>107</v>
      </c>
      <c r="AE185" s="2">
        <v>2.79</v>
      </c>
      <c r="AF185" s="4">
        <v>790300</v>
      </c>
      <c r="AG185" s="8">
        <v>4457.74</v>
      </c>
      <c r="AH185" s="8">
        <f t="shared" si="8"/>
        <v>4792.5162739999996</v>
      </c>
      <c r="AI185" s="8">
        <f t="shared" si="9"/>
        <v>334.77627399999983</v>
      </c>
      <c r="AJ185" s="8">
        <f t="shared" si="10"/>
        <v>4698.9037339999995</v>
      </c>
      <c r="AK185" s="8">
        <f t="shared" si="11"/>
        <v>241.16373399999975</v>
      </c>
    </row>
    <row r="186" spans="1:37" x14ac:dyDescent="0.3">
      <c r="A186" s="1">
        <v>200</v>
      </c>
      <c r="B186" s="2" t="s">
        <v>1280</v>
      </c>
      <c r="C186" s="2" t="s">
        <v>100</v>
      </c>
      <c r="D186" s="2" t="s">
        <v>101</v>
      </c>
      <c r="E186" s="1">
        <v>1</v>
      </c>
      <c r="F186" s="2" t="s">
        <v>1281</v>
      </c>
      <c r="G186" s="2" t="s">
        <v>1223</v>
      </c>
      <c r="H186" s="2" t="s">
        <v>31</v>
      </c>
      <c r="I186" s="2" t="s">
        <v>32</v>
      </c>
      <c r="J186" s="2" t="s">
        <v>1282</v>
      </c>
      <c r="K186" s="10" t="s">
        <v>2835</v>
      </c>
      <c r="L186" s="2" t="s">
        <v>1283</v>
      </c>
      <c r="M186" s="2" t="s">
        <v>31</v>
      </c>
      <c r="N186" s="2" t="s">
        <v>31</v>
      </c>
      <c r="O186" s="2" t="s">
        <v>31</v>
      </c>
      <c r="P186" s="2" t="s">
        <v>1284</v>
      </c>
      <c r="Q186" s="2" t="s">
        <v>1285</v>
      </c>
      <c r="R186" s="2" t="s">
        <v>48</v>
      </c>
      <c r="S186" s="2" t="s">
        <v>31</v>
      </c>
      <c r="T186" s="2" t="s">
        <v>1286</v>
      </c>
      <c r="U186" s="2">
        <v>0</v>
      </c>
      <c r="V186" s="10">
        <v>1905</v>
      </c>
      <c r="W186" s="10">
        <v>850</v>
      </c>
      <c r="X186" s="11">
        <v>0</v>
      </c>
      <c r="Y186" s="11">
        <v>1</v>
      </c>
      <c r="Z186" s="2" t="s">
        <v>31</v>
      </c>
      <c r="AA186" s="2" t="s">
        <v>1287</v>
      </c>
      <c r="AB186" s="3">
        <v>43074</v>
      </c>
      <c r="AC186" s="2">
        <v>1</v>
      </c>
      <c r="AD186" s="2" t="s">
        <v>39</v>
      </c>
      <c r="AE186" s="2">
        <v>2.67</v>
      </c>
      <c r="AF186" s="4">
        <v>747100</v>
      </c>
      <c r="AG186" s="8">
        <v>7650.3</v>
      </c>
      <c r="AH186" s="8">
        <f t="shared" si="8"/>
        <v>8224.8375299999989</v>
      </c>
      <c r="AI186" s="8">
        <f t="shared" si="9"/>
        <v>574.5375299999987</v>
      </c>
      <c r="AJ186" s="8">
        <f t="shared" si="10"/>
        <v>8064.1812300000001</v>
      </c>
      <c r="AK186" s="8">
        <f t="shared" si="11"/>
        <v>413.88122999999996</v>
      </c>
    </row>
    <row r="187" spans="1:37" x14ac:dyDescent="0.3">
      <c r="A187" s="1">
        <v>201</v>
      </c>
      <c r="B187" s="2" t="s">
        <v>1288</v>
      </c>
      <c r="C187" s="2" t="s">
        <v>100</v>
      </c>
      <c r="D187" s="2" t="s">
        <v>101</v>
      </c>
      <c r="E187" s="1">
        <v>1</v>
      </c>
      <c r="F187" s="2" t="s">
        <v>1289</v>
      </c>
      <c r="G187" s="2" t="s">
        <v>1223</v>
      </c>
      <c r="H187" s="2" t="s">
        <v>31</v>
      </c>
      <c r="I187" s="2" t="s">
        <v>32</v>
      </c>
      <c r="J187" s="2" t="s">
        <v>813</v>
      </c>
      <c r="K187" s="10" t="s">
        <v>2835</v>
      </c>
      <c r="L187" s="2" t="s">
        <v>1290</v>
      </c>
      <c r="M187" s="2" t="s">
        <v>1291</v>
      </c>
      <c r="N187" s="2" t="s">
        <v>31</v>
      </c>
      <c r="O187" s="2" t="s">
        <v>31</v>
      </c>
      <c r="P187" s="2" t="s">
        <v>1292</v>
      </c>
      <c r="Q187" s="2" t="s">
        <v>59</v>
      </c>
      <c r="R187" s="2" t="s">
        <v>48</v>
      </c>
      <c r="S187" s="2" t="s">
        <v>31</v>
      </c>
      <c r="T187" s="2" t="s">
        <v>60</v>
      </c>
      <c r="U187" s="2">
        <v>0</v>
      </c>
      <c r="V187" s="10">
        <v>1905</v>
      </c>
      <c r="W187" s="10">
        <v>620</v>
      </c>
      <c r="X187" s="11">
        <v>0</v>
      </c>
      <c r="Y187" s="11">
        <v>1</v>
      </c>
      <c r="Z187" s="2" t="s">
        <v>31</v>
      </c>
      <c r="AA187" s="2" t="s">
        <v>1293</v>
      </c>
      <c r="AB187" s="3">
        <v>43033</v>
      </c>
      <c r="AC187" s="2">
        <v>515000</v>
      </c>
      <c r="AD187" s="2" t="s">
        <v>107</v>
      </c>
      <c r="AE187" s="2">
        <v>1.56</v>
      </c>
      <c r="AF187" s="4">
        <v>488800</v>
      </c>
      <c r="AG187" s="8">
        <v>1370.38</v>
      </c>
      <c r="AH187" s="8">
        <f t="shared" si="8"/>
        <v>1473.2955380000001</v>
      </c>
      <c r="AI187" s="8">
        <f t="shared" si="9"/>
        <v>102.91553799999997</v>
      </c>
      <c r="AJ187" s="8">
        <f t="shared" si="10"/>
        <v>1444.5175580000002</v>
      </c>
      <c r="AK187" s="8">
        <f t="shared" si="11"/>
        <v>74.137558000000126</v>
      </c>
    </row>
    <row r="188" spans="1:37" x14ac:dyDescent="0.3">
      <c r="A188" s="1">
        <v>202</v>
      </c>
      <c r="B188" s="2" t="s">
        <v>1294</v>
      </c>
      <c r="C188" s="2" t="s">
        <v>100</v>
      </c>
      <c r="D188" s="2" t="s">
        <v>101</v>
      </c>
      <c r="E188" s="1">
        <v>1</v>
      </c>
      <c r="F188" s="2" t="s">
        <v>1295</v>
      </c>
      <c r="G188" s="2" t="s">
        <v>1223</v>
      </c>
      <c r="H188" s="2" t="s">
        <v>31</v>
      </c>
      <c r="I188" s="2" t="s">
        <v>32</v>
      </c>
      <c r="J188" s="2" t="s">
        <v>725</v>
      </c>
      <c r="K188" s="10" t="s">
        <v>2835</v>
      </c>
      <c r="L188" s="2" t="s">
        <v>1296</v>
      </c>
      <c r="M188" s="2" t="s">
        <v>1297</v>
      </c>
      <c r="N188" s="2" t="s">
        <v>31</v>
      </c>
      <c r="O188" s="2" t="s">
        <v>31</v>
      </c>
      <c r="P188" s="2" t="s">
        <v>1298</v>
      </c>
      <c r="Q188" s="2" t="s">
        <v>59</v>
      </c>
      <c r="R188" s="2" t="s">
        <v>48</v>
      </c>
      <c r="S188" s="2" t="s">
        <v>31</v>
      </c>
      <c r="T188" s="2" t="s">
        <v>60</v>
      </c>
      <c r="U188" s="2">
        <v>0</v>
      </c>
      <c r="V188" s="10">
        <v>1905</v>
      </c>
      <c r="W188" s="10">
        <v>600</v>
      </c>
      <c r="X188" s="11">
        <v>0</v>
      </c>
      <c r="Y188" s="11">
        <v>1</v>
      </c>
      <c r="Z188" s="2" t="s">
        <v>31</v>
      </c>
      <c r="AA188" s="2" t="s">
        <v>1299</v>
      </c>
      <c r="AB188" s="3">
        <v>45595</v>
      </c>
      <c r="AC188" s="2">
        <v>625000</v>
      </c>
      <c r="AD188" s="2" t="s">
        <v>107</v>
      </c>
      <c r="AE188" s="2">
        <v>1.56</v>
      </c>
      <c r="AF188" s="4">
        <v>548100</v>
      </c>
      <c r="AG188" s="8">
        <v>1977.61</v>
      </c>
      <c r="AH188" s="8">
        <f t="shared" si="8"/>
        <v>2126.1285109999999</v>
      </c>
      <c r="AI188" s="8">
        <f t="shared" si="9"/>
        <v>148.51851099999999</v>
      </c>
      <c r="AJ188" s="8">
        <f t="shared" si="10"/>
        <v>2084.5987009999999</v>
      </c>
      <c r="AK188" s="8">
        <f t="shared" si="11"/>
        <v>106.98870099999999</v>
      </c>
    </row>
    <row r="189" spans="1:37" x14ac:dyDescent="0.3">
      <c r="A189" s="1">
        <v>203</v>
      </c>
      <c r="B189" s="2" t="s">
        <v>1300</v>
      </c>
      <c r="C189" s="2" t="s">
        <v>100</v>
      </c>
      <c r="D189" s="2" t="s">
        <v>101</v>
      </c>
      <c r="E189" s="1">
        <v>1</v>
      </c>
      <c r="F189" s="2" t="s">
        <v>1301</v>
      </c>
      <c r="G189" s="2" t="s">
        <v>1223</v>
      </c>
      <c r="H189" s="2" t="s">
        <v>31</v>
      </c>
      <c r="I189" s="2" t="s">
        <v>32</v>
      </c>
      <c r="J189" s="2" t="s">
        <v>1302</v>
      </c>
      <c r="K189" s="10" t="s">
        <v>2835</v>
      </c>
      <c r="L189" s="2" t="s">
        <v>1303</v>
      </c>
      <c r="M189" s="2" t="s">
        <v>1304</v>
      </c>
      <c r="N189" s="2" t="s">
        <v>1305</v>
      </c>
      <c r="O189" s="2" t="s">
        <v>1306</v>
      </c>
      <c r="P189" s="2" t="s">
        <v>1307</v>
      </c>
      <c r="Q189" s="2" t="s">
        <v>333</v>
      </c>
      <c r="R189" s="2" t="s">
        <v>48</v>
      </c>
      <c r="S189" s="2" t="s">
        <v>31</v>
      </c>
      <c r="T189" s="2" t="s">
        <v>1308</v>
      </c>
      <c r="U189" s="2">
        <v>0</v>
      </c>
      <c r="V189" s="10">
        <v>1905</v>
      </c>
      <c r="W189" s="10">
        <v>965</v>
      </c>
      <c r="X189" s="11">
        <v>0</v>
      </c>
      <c r="Y189" s="11">
        <v>1</v>
      </c>
      <c r="Z189" s="2" t="s">
        <v>31</v>
      </c>
      <c r="AA189" s="2" t="s">
        <v>1309</v>
      </c>
      <c r="AB189" s="3">
        <v>43775</v>
      </c>
      <c r="AC189" s="2">
        <v>100</v>
      </c>
      <c r="AD189" s="2" t="s">
        <v>39</v>
      </c>
      <c r="AE189" s="2">
        <v>2.58</v>
      </c>
      <c r="AF189" s="4">
        <v>788400</v>
      </c>
      <c r="AG189" s="8">
        <v>8073.22</v>
      </c>
      <c r="AH189" s="8">
        <f t="shared" si="8"/>
        <v>8679.518822</v>
      </c>
      <c r="AI189" s="8">
        <f t="shared" si="9"/>
        <v>606.29882199999975</v>
      </c>
      <c r="AJ189" s="8">
        <f t="shared" si="10"/>
        <v>8509.9812020000008</v>
      </c>
      <c r="AK189" s="8">
        <f t="shared" si="11"/>
        <v>436.76120200000059</v>
      </c>
    </row>
    <row r="190" spans="1:37" x14ac:dyDescent="0.3">
      <c r="A190" s="1">
        <v>204</v>
      </c>
      <c r="B190" s="2" t="s">
        <v>1310</v>
      </c>
      <c r="C190" s="2" t="s">
        <v>100</v>
      </c>
      <c r="D190" s="2" t="s">
        <v>101</v>
      </c>
      <c r="E190" s="1">
        <v>1</v>
      </c>
      <c r="F190" s="2" t="s">
        <v>1311</v>
      </c>
      <c r="G190" s="2" t="s">
        <v>1223</v>
      </c>
      <c r="H190" s="2" t="s">
        <v>31</v>
      </c>
      <c r="I190" s="2" t="s">
        <v>32</v>
      </c>
      <c r="J190" s="2" t="s">
        <v>900</v>
      </c>
      <c r="K190" s="10" t="s">
        <v>2835</v>
      </c>
      <c r="L190" s="2" t="s">
        <v>1312</v>
      </c>
      <c r="M190" s="2" t="s">
        <v>1313</v>
      </c>
      <c r="N190" s="2" t="s">
        <v>31</v>
      </c>
      <c r="O190" s="2" t="s">
        <v>31</v>
      </c>
      <c r="P190" s="2" t="s">
        <v>1314</v>
      </c>
      <c r="Q190" s="2" t="s">
        <v>1315</v>
      </c>
      <c r="R190" s="2" t="s">
        <v>1316</v>
      </c>
      <c r="S190" s="2" t="s">
        <v>31</v>
      </c>
      <c r="T190" s="2" t="s">
        <v>1317</v>
      </c>
      <c r="U190" s="2">
        <v>0</v>
      </c>
      <c r="V190" s="10">
        <v>1905</v>
      </c>
      <c r="W190" s="10">
        <v>850</v>
      </c>
      <c r="X190" s="11">
        <v>0</v>
      </c>
      <c r="Y190" s="11">
        <v>1</v>
      </c>
      <c r="Z190" s="2" t="s">
        <v>31</v>
      </c>
      <c r="AA190" s="2" t="s">
        <v>1318</v>
      </c>
      <c r="AB190" s="3">
        <v>30589</v>
      </c>
      <c r="AC190" s="2">
        <v>68000</v>
      </c>
      <c r="AD190" s="2" t="s">
        <v>39</v>
      </c>
      <c r="AE190" s="2">
        <v>2.58</v>
      </c>
      <c r="AF190" s="4">
        <v>631700</v>
      </c>
      <c r="AG190" s="8">
        <v>6468.61</v>
      </c>
      <c r="AH190" s="8">
        <f t="shared" si="8"/>
        <v>6954.4026109999995</v>
      </c>
      <c r="AI190" s="8">
        <f t="shared" si="9"/>
        <v>485.79261099999985</v>
      </c>
      <c r="AJ190" s="8">
        <f t="shared" si="10"/>
        <v>6818.5618009999998</v>
      </c>
      <c r="AK190" s="8">
        <f t="shared" si="11"/>
        <v>349.95180100000016</v>
      </c>
    </row>
    <row r="191" spans="1:37" x14ac:dyDescent="0.3">
      <c r="A191" s="1">
        <v>205</v>
      </c>
      <c r="B191" s="2" t="s">
        <v>1319</v>
      </c>
      <c r="C191" s="2" t="s">
        <v>100</v>
      </c>
      <c r="D191" s="2" t="s">
        <v>101</v>
      </c>
      <c r="E191" s="1">
        <v>1</v>
      </c>
      <c r="F191" s="2" t="s">
        <v>1320</v>
      </c>
      <c r="G191" s="2" t="s">
        <v>1223</v>
      </c>
      <c r="H191" s="2" t="s">
        <v>31</v>
      </c>
      <c r="I191" s="2" t="s">
        <v>32</v>
      </c>
      <c r="J191" s="2" t="s">
        <v>498</v>
      </c>
      <c r="K191" s="10" t="s">
        <v>2835</v>
      </c>
      <c r="L191" s="2" t="s">
        <v>1321</v>
      </c>
      <c r="M191" s="2" t="s">
        <v>1322</v>
      </c>
      <c r="N191" s="2" t="s">
        <v>31</v>
      </c>
      <c r="O191" s="2" t="s">
        <v>31</v>
      </c>
      <c r="P191" s="2" t="s">
        <v>1323</v>
      </c>
      <c r="Q191" s="2" t="s">
        <v>1324</v>
      </c>
      <c r="R191" s="2" t="s">
        <v>48</v>
      </c>
      <c r="S191" s="2" t="s">
        <v>31</v>
      </c>
      <c r="T191" s="2" t="s">
        <v>1325</v>
      </c>
      <c r="U191" s="2">
        <v>0</v>
      </c>
      <c r="V191" s="10">
        <v>1905</v>
      </c>
      <c r="W191" s="10">
        <v>610</v>
      </c>
      <c r="X191" s="11">
        <v>0</v>
      </c>
      <c r="Y191" s="11">
        <v>1</v>
      </c>
      <c r="Z191" s="2" t="s">
        <v>31</v>
      </c>
      <c r="AA191" s="2" t="s">
        <v>1326</v>
      </c>
      <c r="AB191" s="3">
        <v>44735</v>
      </c>
      <c r="AC191" s="2">
        <v>10</v>
      </c>
      <c r="AD191" s="2" t="s">
        <v>39</v>
      </c>
      <c r="AE191" s="2">
        <v>1.43</v>
      </c>
      <c r="AF191" s="4">
        <v>461700</v>
      </c>
      <c r="AG191" s="8">
        <v>4727.8100000000004</v>
      </c>
      <c r="AH191" s="8">
        <f t="shared" si="8"/>
        <v>5082.8685310000001</v>
      </c>
      <c r="AI191" s="8">
        <f t="shared" si="9"/>
        <v>355.05853099999968</v>
      </c>
      <c r="AJ191" s="8">
        <f t="shared" si="10"/>
        <v>4983.5845210000007</v>
      </c>
      <c r="AK191" s="8">
        <f t="shared" si="11"/>
        <v>255.77452100000028</v>
      </c>
    </row>
    <row r="192" spans="1:37" x14ac:dyDescent="0.3">
      <c r="A192" s="1">
        <v>206</v>
      </c>
      <c r="B192" s="2" t="s">
        <v>1327</v>
      </c>
      <c r="C192" s="2" t="s">
        <v>100</v>
      </c>
      <c r="D192" s="2" t="s">
        <v>101</v>
      </c>
      <c r="E192" s="1">
        <v>1</v>
      </c>
      <c r="F192" s="2" t="s">
        <v>1328</v>
      </c>
      <c r="G192" s="2" t="s">
        <v>1223</v>
      </c>
      <c r="H192" s="2" t="s">
        <v>31</v>
      </c>
      <c r="I192" s="2" t="s">
        <v>32</v>
      </c>
      <c r="J192" s="2" t="s">
        <v>507</v>
      </c>
      <c r="K192" s="10" t="s">
        <v>2835</v>
      </c>
      <c r="L192" s="2" t="s">
        <v>1329</v>
      </c>
      <c r="M192" s="2" t="s">
        <v>1330</v>
      </c>
      <c r="N192" s="2" t="s">
        <v>31</v>
      </c>
      <c r="O192" s="2" t="s">
        <v>31</v>
      </c>
      <c r="P192" s="2" t="s">
        <v>1331</v>
      </c>
      <c r="Q192" s="2" t="s">
        <v>59</v>
      </c>
      <c r="R192" s="2" t="s">
        <v>48</v>
      </c>
      <c r="S192" s="2" t="s">
        <v>31</v>
      </c>
      <c r="T192" s="2" t="s">
        <v>60</v>
      </c>
      <c r="U192" s="2">
        <v>0</v>
      </c>
      <c r="V192" s="10">
        <v>1905</v>
      </c>
      <c r="W192" s="10">
        <v>620</v>
      </c>
      <c r="X192" s="11">
        <v>0</v>
      </c>
      <c r="Y192" s="11">
        <v>1</v>
      </c>
      <c r="Z192" s="2" t="s">
        <v>31</v>
      </c>
      <c r="AA192" s="2" t="s">
        <v>1332</v>
      </c>
      <c r="AB192" s="3">
        <v>43110</v>
      </c>
      <c r="AC192" s="2">
        <v>100</v>
      </c>
      <c r="AD192" s="2" t="s">
        <v>39</v>
      </c>
      <c r="AE192" s="2">
        <v>1.43</v>
      </c>
      <c r="AF192" s="4">
        <v>515400</v>
      </c>
      <c r="AG192" s="8">
        <v>5277.7</v>
      </c>
      <c r="AH192" s="8">
        <f t="shared" si="8"/>
        <v>5674.0552699999998</v>
      </c>
      <c r="AI192" s="8">
        <f t="shared" si="9"/>
        <v>396.35527000000002</v>
      </c>
      <c r="AJ192" s="8">
        <f t="shared" si="10"/>
        <v>5563.2235700000001</v>
      </c>
      <c r="AK192" s="8">
        <f t="shared" si="11"/>
        <v>285.52357000000029</v>
      </c>
    </row>
    <row r="193" spans="1:37" x14ac:dyDescent="0.3">
      <c r="A193" s="1">
        <v>207</v>
      </c>
      <c r="B193" s="2" t="s">
        <v>1333</v>
      </c>
      <c r="C193" s="2" t="s">
        <v>100</v>
      </c>
      <c r="D193" s="2" t="s">
        <v>101</v>
      </c>
      <c r="E193" s="1">
        <v>1</v>
      </c>
      <c r="F193" s="2" t="s">
        <v>1334</v>
      </c>
      <c r="G193" s="2" t="s">
        <v>1223</v>
      </c>
      <c r="H193" s="2" t="s">
        <v>31</v>
      </c>
      <c r="I193" s="2" t="s">
        <v>32</v>
      </c>
      <c r="J193" s="2" t="s">
        <v>1335</v>
      </c>
      <c r="K193" s="10" t="s">
        <v>2835</v>
      </c>
      <c r="L193" s="2" t="s">
        <v>1336</v>
      </c>
      <c r="M193" s="2" t="s">
        <v>1337</v>
      </c>
      <c r="N193" s="2" t="s">
        <v>31</v>
      </c>
      <c r="O193" s="2" t="s">
        <v>31</v>
      </c>
      <c r="P193" s="2" t="s">
        <v>1338</v>
      </c>
      <c r="Q193" s="2" t="s">
        <v>59</v>
      </c>
      <c r="R193" s="2" t="s">
        <v>48</v>
      </c>
      <c r="S193" s="2" t="s">
        <v>31</v>
      </c>
      <c r="T193" s="2" t="s">
        <v>60</v>
      </c>
      <c r="U193" s="2">
        <v>0</v>
      </c>
      <c r="V193" s="10">
        <v>1905</v>
      </c>
      <c r="W193" s="10">
        <v>1000</v>
      </c>
      <c r="X193" s="11">
        <v>0</v>
      </c>
      <c r="Y193" s="11">
        <v>1</v>
      </c>
      <c r="Z193" s="2" t="s">
        <v>31</v>
      </c>
      <c r="AA193" s="2" t="s">
        <v>1339</v>
      </c>
      <c r="AB193" s="3">
        <v>40661</v>
      </c>
      <c r="AC193" s="2">
        <v>459000</v>
      </c>
      <c r="AD193" s="2" t="s">
        <v>107</v>
      </c>
      <c r="AE193" s="2">
        <v>2.4500000000000002</v>
      </c>
      <c r="AF193" s="4">
        <v>794400</v>
      </c>
      <c r="AG193" s="8">
        <v>4499.72</v>
      </c>
      <c r="AH193" s="8">
        <f t="shared" si="8"/>
        <v>4837.648972</v>
      </c>
      <c r="AI193" s="8">
        <f t="shared" si="9"/>
        <v>337.9289719999997</v>
      </c>
      <c r="AJ193" s="8">
        <f t="shared" si="10"/>
        <v>4743.1548520000006</v>
      </c>
      <c r="AK193" s="8">
        <f t="shared" si="11"/>
        <v>243.43485200000032</v>
      </c>
    </row>
    <row r="194" spans="1:37" x14ac:dyDescent="0.3">
      <c r="A194" s="1">
        <v>208</v>
      </c>
      <c r="B194" s="2" t="s">
        <v>1340</v>
      </c>
      <c r="C194" s="2" t="s">
        <v>100</v>
      </c>
      <c r="D194" s="2" t="s">
        <v>101</v>
      </c>
      <c r="E194" s="1">
        <v>1</v>
      </c>
      <c r="F194" s="2" t="s">
        <v>1341</v>
      </c>
      <c r="G194" s="2" t="s">
        <v>1223</v>
      </c>
      <c r="H194" s="2" t="s">
        <v>31</v>
      </c>
      <c r="I194" s="2" t="s">
        <v>32</v>
      </c>
      <c r="J194" s="2" t="s">
        <v>1342</v>
      </c>
      <c r="K194" s="10" t="s">
        <v>2835</v>
      </c>
      <c r="L194" s="2" t="s">
        <v>1343</v>
      </c>
      <c r="M194" s="2" t="s">
        <v>1344</v>
      </c>
      <c r="N194" s="2" t="s">
        <v>31</v>
      </c>
      <c r="O194" s="2" t="s">
        <v>31</v>
      </c>
      <c r="P194" s="2" t="s">
        <v>1345</v>
      </c>
      <c r="Q194" s="2" t="s">
        <v>1346</v>
      </c>
      <c r="R194" s="2" t="s">
        <v>48</v>
      </c>
      <c r="S194" s="2" t="s">
        <v>31</v>
      </c>
      <c r="T194" s="2" t="s">
        <v>1347</v>
      </c>
      <c r="U194" s="2">
        <v>0</v>
      </c>
      <c r="V194" s="10">
        <v>1905</v>
      </c>
      <c r="W194" s="10">
        <v>850</v>
      </c>
      <c r="X194" s="11">
        <v>0</v>
      </c>
      <c r="Y194" s="11">
        <v>1</v>
      </c>
      <c r="Z194" s="2" t="s">
        <v>31</v>
      </c>
      <c r="AA194" s="2" t="s">
        <v>1348</v>
      </c>
      <c r="AB194" s="3">
        <v>42647</v>
      </c>
      <c r="AC194" s="2">
        <v>680000</v>
      </c>
      <c r="AD194" s="2" t="s">
        <v>39</v>
      </c>
      <c r="AE194" s="2">
        <v>2.36</v>
      </c>
      <c r="AF194" s="4">
        <v>702200</v>
      </c>
      <c r="AG194" s="8">
        <v>7190.53</v>
      </c>
      <c r="AH194" s="8">
        <f t="shared" si="8"/>
        <v>7730.5388029999995</v>
      </c>
      <c r="AI194" s="8">
        <f t="shared" si="9"/>
        <v>540.00880299999972</v>
      </c>
      <c r="AJ194" s="8">
        <f t="shared" si="10"/>
        <v>7579.5376729999998</v>
      </c>
      <c r="AK194" s="8">
        <f t="shared" si="11"/>
        <v>389.00767300000007</v>
      </c>
    </row>
    <row r="195" spans="1:37" x14ac:dyDescent="0.3">
      <c r="A195" s="1">
        <v>209</v>
      </c>
      <c r="B195" s="2" t="s">
        <v>1349</v>
      </c>
      <c r="C195" s="2" t="s">
        <v>100</v>
      </c>
      <c r="D195" s="2" t="s">
        <v>101</v>
      </c>
      <c r="E195" s="1">
        <v>1</v>
      </c>
      <c r="F195" s="2" t="s">
        <v>1350</v>
      </c>
      <c r="G195" s="2" t="s">
        <v>1223</v>
      </c>
      <c r="H195" s="2" t="s">
        <v>31</v>
      </c>
      <c r="I195" s="2" t="s">
        <v>32</v>
      </c>
      <c r="J195" s="2" t="s">
        <v>451</v>
      </c>
      <c r="K195" s="10" t="s">
        <v>2835</v>
      </c>
      <c r="L195" s="2" t="s">
        <v>1351</v>
      </c>
      <c r="M195" s="2" t="s">
        <v>1352</v>
      </c>
      <c r="N195" s="2" t="s">
        <v>31</v>
      </c>
      <c r="O195" s="2" t="s">
        <v>31</v>
      </c>
      <c r="P195" s="2" t="s">
        <v>1353</v>
      </c>
      <c r="Q195" s="2" t="s">
        <v>59</v>
      </c>
      <c r="R195" s="2" t="s">
        <v>48</v>
      </c>
      <c r="S195" s="2" t="s">
        <v>31</v>
      </c>
      <c r="T195" s="2" t="s">
        <v>60</v>
      </c>
      <c r="U195" s="2">
        <v>0</v>
      </c>
      <c r="V195" s="10">
        <v>1905</v>
      </c>
      <c r="W195" s="10">
        <v>650</v>
      </c>
      <c r="X195" s="11">
        <v>0</v>
      </c>
      <c r="Y195" s="11">
        <v>1</v>
      </c>
      <c r="Z195" s="2" t="s">
        <v>31</v>
      </c>
      <c r="AA195" s="2" t="s">
        <v>1354</v>
      </c>
      <c r="AB195" s="3">
        <v>42377</v>
      </c>
      <c r="AC195" s="2">
        <v>428000</v>
      </c>
      <c r="AD195" s="2" t="s">
        <v>39</v>
      </c>
      <c r="AE195" s="2">
        <v>1.22</v>
      </c>
      <c r="AF195" s="4">
        <v>489700</v>
      </c>
      <c r="AG195" s="8">
        <v>5014.53</v>
      </c>
      <c r="AH195" s="8">
        <f t="shared" ref="AH195:AH258" si="12">AG195*1.0751</f>
        <v>5391.1212029999997</v>
      </c>
      <c r="AI195" s="8">
        <f t="shared" ref="AI195:AI258" si="13">AH195-AG195</f>
        <v>376.59120299999995</v>
      </c>
      <c r="AJ195" s="8">
        <f t="shared" ref="AJ195:AJ258" si="14">AG195*1.0541</f>
        <v>5285.816073</v>
      </c>
      <c r="AK195" s="8">
        <f t="shared" ref="AK195:AK258" si="15">AJ195-AG195</f>
        <v>271.28607300000021</v>
      </c>
    </row>
    <row r="196" spans="1:37" x14ac:dyDescent="0.3">
      <c r="A196" s="1">
        <v>210</v>
      </c>
      <c r="B196" s="2" t="s">
        <v>1355</v>
      </c>
      <c r="C196" s="2" t="s">
        <v>100</v>
      </c>
      <c r="D196" s="2" t="s">
        <v>101</v>
      </c>
      <c r="E196" s="1">
        <v>1</v>
      </c>
      <c r="F196" s="2" t="s">
        <v>1356</v>
      </c>
      <c r="G196" s="2" t="s">
        <v>1223</v>
      </c>
      <c r="H196" s="2" t="s">
        <v>31</v>
      </c>
      <c r="I196" s="2" t="s">
        <v>32</v>
      </c>
      <c r="J196" s="2" t="s">
        <v>701</v>
      </c>
      <c r="K196" s="10" t="s">
        <v>2835</v>
      </c>
      <c r="L196" s="2" t="s">
        <v>1357</v>
      </c>
      <c r="M196" s="2" t="s">
        <v>1358</v>
      </c>
      <c r="N196" s="2" t="s">
        <v>31</v>
      </c>
      <c r="O196" s="2" t="s">
        <v>31</v>
      </c>
      <c r="P196" s="2" t="s">
        <v>1359</v>
      </c>
      <c r="Q196" s="2" t="s">
        <v>59</v>
      </c>
      <c r="R196" s="2" t="s">
        <v>48</v>
      </c>
      <c r="S196" s="2" t="s">
        <v>31</v>
      </c>
      <c r="T196" s="2" t="s">
        <v>60</v>
      </c>
      <c r="U196" s="2">
        <v>0</v>
      </c>
      <c r="V196" s="10">
        <v>1905</v>
      </c>
      <c r="W196" s="10">
        <v>625</v>
      </c>
      <c r="X196" s="11">
        <v>0</v>
      </c>
      <c r="Y196" s="11">
        <v>1</v>
      </c>
      <c r="Z196" s="2" t="s">
        <v>31</v>
      </c>
      <c r="AA196" s="2" t="s">
        <v>1360</v>
      </c>
      <c r="AB196" s="3">
        <v>44342</v>
      </c>
      <c r="AC196" s="2">
        <v>527000</v>
      </c>
      <c r="AD196" s="2" t="s">
        <v>107</v>
      </c>
      <c r="AE196" s="2">
        <v>1.1599999999999999</v>
      </c>
      <c r="AF196" s="4">
        <v>472200</v>
      </c>
      <c r="AG196" s="8">
        <v>1200.3900000000001</v>
      </c>
      <c r="AH196" s="8">
        <f t="shared" si="12"/>
        <v>1290.5392890000001</v>
      </c>
      <c r="AI196" s="8">
        <f t="shared" si="13"/>
        <v>90.149288999999953</v>
      </c>
      <c r="AJ196" s="8">
        <f t="shared" si="14"/>
        <v>1265.3310990000002</v>
      </c>
      <c r="AK196" s="8">
        <f t="shared" si="15"/>
        <v>64.941099000000122</v>
      </c>
    </row>
    <row r="197" spans="1:37" x14ac:dyDescent="0.3">
      <c r="A197" s="1">
        <v>211</v>
      </c>
      <c r="B197" s="2" t="s">
        <v>1361</v>
      </c>
      <c r="C197" s="2" t="s">
        <v>100</v>
      </c>
      <c r="D197" s="2" t="s">
        <v>101</v>
      </c>
      <c r="E197" s="1">
        <v>1</v>
      </c>
      <c r="F197" s="2" t="s">
        <v>1362</v>
      </c>
      <c r="G197" s="2" t="s">
        <v>1363</v>
      </c>
      <c r="H197" s="2" t="s">
        <v>31</v>
      </c>
      <c r="I197" s="2" t="s">
        <v>32</v>
      </c>
      <c r="J197" s="2" t="s">
        <v>66</v>
      </c>
      <c r="K197" s="10" t="s">
        <v>2835</v>
      </c>
      <c r="L197" s="2" t="s">
        <v>1364</v>
      </c>
      <c r="M197" s="2" t="s">
        <v>1365</v>
      </c>
      <c r="N197" s="2" t="s">
        <v>1366</v>
      </c>
      <c r="O197" s="2" t="s">
        <v>1367</v>
      </c>
      <c r="P197" s="2" t="s">
        <v>1368</v>
      </c>
      <c r="Q197" s="2" t="s">
        <v>59</v>
      </c>
      <c r="R197" s="2" t="s">
        <v>48</v>
      </c>
      <c r="S197" s="2" t="s">
        <v>31</v>
      </c>
      <c r="T197" s="2" t="s">
        <v>60</v>
      </c>
      <c r="U197" s="2">
        <v>0</v>
      </c>
      <c r="V197" s="10">
        <v>1905</v>
      </c>
      <c r="W197" s="10">
        <v>610</v>
      </c>
      <c r="X197" s="11">
        <v>0</v>
      </c>
      <c r="Y197" s="11">
        <v>1</v>
      </c>
      <c r="Z197" s="2" t="s">
        <v>31</v>
      </c>
      <c r="AA197" s="2" t="s">
        <v>1369</v>
      </c>
      <c r="AB197" s="3">
        <v>43636</v>
      </c>
      <c r="AC197" s="2">
        <v>354000</v>
      </c>
      <c r="AD197" s="2" t="s">
        <v>39</v>
      </c>
      <c r="AE197" s="2">
        <v>0.52</v>
      </c>
      <c r="AF197" s="4">
        <v>473600</v>
      </c>
      <c r="AG197" s="8">
        <v>4849.66</v>
      </c>
      <c r="AH197" s="8">
        <f t="shared" si="12"/>
        <v>5213.8694659999992</v>
      </c>
      <c r="AI197" s="8">
        <f t="shared" si="13"/>
        <v>364.20946599999934</v>
      </c>
      <c r="AJ197" s="8">
        <f t="shared" si="14"/>
        <v>5112.0266060000004</v>
      </c>
      <c r="AK197" s="8">
        <f t="shared" si="15"/>
        <v>262.3666060000005</v>
      </c>
    </row>
    <row r="198" spans="1:37" x14ac:dyDescent="0.3">
      <c r="A198" s="1">
        <v>212</v>
      </c>
      <c r="B198" s="2" t="s">
        <v>1370</v>
      </c>
      <c r="C198" s="2" t="s">
        <v>100</v>
      </c>
      <c r="D198" s="2" t="s">
        <v>101</v>
      </c>
      <c r="E198" s="1">
        <v>1</v>
      </c>
      <c r="F198" s="2" t="s">
        <v>1371</v>
      </c>
      <c r="G198" s="2" t="s">
        <v>1363</v>
      </c>
      <c r="H198" s="2" t="s">
        <v>31</v>
      </c>
      <c r="I198" s="2" t="s">
        <v>32</v>
      </c>
      <c r="J198" s="2" t="s">
        <v>110</v>
      </c>
      <c r="K198" s="10" t="s">
        <v>2835</v>
      </c>
      <c r="L198" s="2" t="s">
        <v>1372</v>
      </c>
      <c r="M198" s="2" t="s">
        <v>1373</v>
      </c>
      <c r="N198" s="2" t="s">
        <v>31</v>
      </c>
      <c r="O198" s="2" t="s">
        <v>31</v>
      </c>
      <c r="P198" s="2" t="s">
        <v>1374</v>
      </c>
      <c r="Q198" s="2" t="s">
        <v>59</v>
      </c>
      <c r="R198" s="2" t="s">
        <v>48</v>
      </c>
      <c r="S198" s="2" t="s">
        <v>31</v>
      </c>
      <c r="T198" s="2" t="s">
        <v>60</v>
      </c>
      <c r="U198" s="2">
        <v>0</v>
      </c>
      <c r="V198" s="10">
        <v>1905</v>
      </c>
      <c r="W198" s="10">
        <v>620</v>
      </c>
      <c r="X198" s="11">
        <v>0</v>
      </c>
      <c r="Y198" s="11">
        <v>1</v>
      </c>
      <c r="Z198" s="2" t="s">
        <v>31</v>
      </c>
      <c r="AA198" s="2" t="s">
        <v>1375</v>
      </c>
      <c r="AB198" s="3">
        <v>34983</v>
      </c>
      <c r="AC198" s="2">
        <v>60000</v>
      </c>
      <c r="AD198" s="2" t="s">
        <v>107</v>
      </c>
      <c r="AE198" s="2">
        <v>0.52</v>
      </c>
      <c r="AF198" s="4">
        <v>403500</v>
      </c>
      <c r="AG198" s="8">
        <v>496.91</v>
      </c>
      <c r="AH198" s="8">
        <f t="shared" si="12"/>
        <v>534.22794099999999</v>
      </c>
      <c r="AI198" s="8">
        <f t="shared" si="13"/>
        <v>37.317940999999962</v>
      </c>
      <c r="AJ198" s="8">
        <f t="shared" si="14"/>
        <v>523.79283100000009</v>
      </c>
      <c r="AK198" s="8">
        <f t="shared" si="15"/>
        <v>26.882831000000067</v>
      </c>
    </row>
    <row r="199" spans="1:37" x14ac:dyDescent="0.3">
      <c r="A199" s="1">
        <v>213</v>
      </c>
      <c r="B199" s="2" t="s">
        <v>1376</v>
      </c>
      <c r="C199" s="2" t="s">
        <v>100</v>
      </c>
      <c r="D199" s="2" t="s">
        <v>101</v>
      </c>
      <c r="E199" s="1">
        <v>1</v>
      </c>
      <c r="F199" s="2" t="s">
        <v>1377</v>
      </c>
      <c r="G199" s="2" t="s">
        <v>1363</v>
      </c>
      <c r="H199" s="2" t="s">
        <v>31</v>
      </c>
      <c r="I199" s="2" t="s">
        <v>32</v>
      </c>
      <c r="J199" s="2" t="s">
        <v>118</v>
      </c>
      <c r="K199" s="10" t="s">
        <v>2835</v>
      </c>
      <c r="L199" s="2" t="s">
        <v>1276</v>
      </c>
      <c r="M199" s="2" t="s">
        <v>1378</v>
      </c>
      <c r="N199" s="2" t="s">
        <v>31</v>
      </c>
      <c r="O199" s="2" t="s">
        <v>31</v>
      </c>
      <c r="P199" s="2" t="s">
        <v>1379</v>
      </c>
      <c r="Q199" s="2" t="s">
        <v>47</v>
      </c>
      <c r="R199" s="2" t="s">
        <v>48</v>
      </c>
      <c r="S199" s="2" t="s">
        <v>31</v>
      </c>
      <c r="T199" s="2" t="s">
        <v>49</v>
      </c>
      <c r="U199" s="2">
        <v>0</v>
      </c>
      <c r="V199" s="10">
        <v>1905</v>
      </c>
      <c r="W199" s="10">
        <v>280</v>
      </c>
      <c r="X199" s="11">
        <v>0</v>
      </c>
      <c r="Y199" s="11">
        <v>1</v>
      </c>
      <c r="Z199" s="2" t="s">
        <v>31</v>
      </c>
      <c r="AA199" s="2" t="s">
        <v>1380</v>
      </c>
      <c r="AB199" s="3">
        <v>45700</v>
      </c>
      <c r="AC199" s="2">
        <v>0</v>
      </c>
      <c r="AD199" s="2" t="s">
        <v>39</v>
      </c>
      <c r="AE199" s="2">
        <v>0.36</v>
      </c>
      <c r="AF199" s="4">
        <v>316000</v>
      </c>
      <c r="AG199" s="8">
        <v>3235.84</v>
      </c>
      <c r="AH199" s="8">
        <f t="shared" si="12"/>
        <v>3478.851584</v>
      </c>
      <c r="AI199" s="8">
        <f t="shared" si="13"/>
        <v>243.01158399999986</v>
      </c>
      <c r="AJ199" s="8">
        <f t="shared" si="14"/>
        <v>3410.8989440000005</v>
      </c>
      <c r="AK199" s="8">
        <f t="shared" si="15"/>
        <v>175.05894400000034</v>
      </c>
    </row>
    <row r="200" spans="1:37" x14ac:dyDescent="0.3">
      <c r="A200" s="1">
        <v>214</v>
      </c>
      <c r="B200" s="2" t="s">
        <v>1381</v>
      </c>
      <c r="C200" s="2" t="s">
        <v>100</v>
      </c>
      <c r="D200" s="2" t="s">
        <v>101</v>
      </c>
      <c r="E200" s="1">
        <v>1</v>
      </c>
      <c r="F200" s="2" t="s">
        <v>1382</v>
      </c>
      <c r="G200" s="2" t="s">
        <v>1363</v>
      </c>
      <c r="H200" s="2" t="s">
        <v>31</v>
      </c>
      <c r="I200" s="2" t="s">
        <v>32</v>
      </c>
      <c r="J200" s="2" t="s">
        <v>1383</v>
      </c>
      <c r="K200" s="10" t="s">
        <v>2835</v>
      </c>
      <c r="L200" s="2" t="s">
        <v>1384</v>
      </c>
      <c r="M200" s="2" t="s">
        <v>1385</v>
      </c>
      <c r="N200" s="2" t="s">
        <v>1386</v>
      </c>
      <c r="O200" s="2" t="s">
        <v>1387</v>
      </c>
      <c r="P200" s="2" t="s">
        <v>1388</v>
      </c>
      <c r="Q200" s="2" t="s">
        <v>59</v>
      </c>
      <c r="R200" s="2" t="s">
        <v>48</v>
      </c>
      <c r="S200" s="2" t="s">
        <v>31</v>
      </c>
      <c r="T200" s="2" t="s">
        <v>60</v>
      </c>
      <c r="U200" s="2">
        <v>0</v>
      </c>
      <c r="V200" s="10">
        <v>1905</v>
      </c>
      <c r="W200" s="10">
        <v>985</v>
      </c>
      <c r="X200" s="11">
        <v>0</v>
      </c>
      <c r="Y200" s="11">
        <v>1</v>
      </c>
      <c r="Z200" s="2" t="s">
        <v>31</v>
      </c>
      <c r="AA200" s="2" t="s">
        <v>1389</v>
      </c>
      <c r="AB200" s="3">
        <v>45040</v>
      </c>
      <c r="AC200" s="2">
        <v>820000</v>
      </c>
      <c r="AD200" s="2" t="s">
        <v>107</v>
      </c>
      <c r="AE200" s="2">
        <v>2.67</v>
      </c>
      <c r="AF200" s="4">
        <v>795200</v>
      </c>
      <c r="AG200" s="8">
        <v>4507.91</v>
      </c>
      <c r="AH200" s="8">
        <f t="shared" si="12"/>
        <v>4846.454041</v>
      </c>
      <c r="AI200" s="8">
        <f t="shared" si="13"/>
        <v>338.54404100000011</v>
      </c>
      <c r="AJ200" s="8">
        <f t="shared" si="14"/>
        <v>4751.7879309999998</v>
      </c>
      <c r="AK200" s="8">
        <f t="shared" si="15"/>
        <v>243.87793099999999</v>
      </c>
    </row>
    <row r="201" spans="1:37" x14ac:dyDescent="0.3">
      <c r="A201" s="1">
        <v>215</v>
      </c>
      <c r="B201" s="2" t="s">
        <v>1390</v>
      </c>
      <c r="C201" s="2" t="s">
        <v>100</v>
      </c>
      <c r="D201" s="2" t="s">
        <v>101</v>
      </c>
      <c r="E201" s="1">
        <v>1</v>
      </c>
      <c r="F201" s="2" t="s">
        <v>1391</v>
      </c>
      <c r="G201" s="2" t="s">
        <v>1363</v>
      </c>
      <c r="H201" s="2" t="s">
        <v>31</v>
      </c>
      <c r="I201" s="2" t="s">
        <v>32</v>
      </c>
      <c r="J201" s="2" t="s">
        <v>1392</v>
      </c>
      <c r="K201" s="10" t="s">
        <v>2835</v>
      </c>
      <c r="L201" s="2" t="s">
        <v>1393</v>
      </c>
      <c r="M201" s="2" t="s">
        <v>1394</v>
      </c>
      <c r="N201" s="2" t="s">
        <v>31</v>
      </c>
      <c r="O201" s="2" t="s">
        <v>31</v>
      </c>
      <c r="P201" s="2" t="s">
        <v>1395</v>
      </c>
      <c r="Q201" s="2" t="s">
        <v>1396</v>
      </c>
      <c r="R201" s="2" t="s">
        <v>48</v>
      </c>
      <c r="S201" s="2" t="s">
        <v>31</v>
      </c>
      <c r="T201" s="2" t="s">
        <v>1397</v>
      </c>
      <c r="U201" s="2">
        <v>0</v>
      </c>
      <c r="V201" s="10">
        <v>1905</v>
      </c>
      <c r="W201" s="10">
        <v>820</v>
      </c>
      <c r="X201" s="11">
        <v>0</v>
      </c>
      <c r="Y201" s="11">
        <v>1</v>
      </c>
      <c r="Z201" s="2" t="s">
        <v>31</v>
      </c>
      <c r="AA201" s="2" t="s">
        <v>1398</v>
      </c>
      <c r="AB201" s="3">
        <v>41432</v>
      </c>
      <c r="AC201" s="2">
        <v>420000</v>
      </c>
      <c r="AD201" s="2" t="s">
        <v>39</v>
      </c>
      <c r="AE201" s="2">
        <v>2.67</v>
      </c>
      <c r="AF201" s="4">
        <v>639600</v>
      </c>
      <c r="AG201" s="8">
        <v>6549.5</v>
      </c>
      <c r="AH201" s="8">
        <f t="shared" si="12"/>
        <v>7041.3674499999997</v>
      </c>
      <c r="AI201" s="8">
        <f t="shared" si="13"/>
        <v>491.86744999999974</v>
      </c>
      <c r="AJ201" s="8">
        <f t="shared" si="14"/>
        <v>6903.8279499999999</v>
      </c>
      <c r="AK201" s="8">
        <f t="shared" si="15"/>
        <v>354.32794999999987</v>
      </c>
    </row>
    <row r="202" spans="1:37" x14ac:dyDescent="0.3">
      <c r="A202" s="1">
        <v>216</v>
      </c>
      <c r="B202" s="2" t="s">
        <v>1399</v>
      </c>
      <c r="C202" s="2" t="s">
        <v>100</v>
      </c>
      <c r="D202" s="2" t="s">
        <v>101</v>
      </c>
      <c r="E202" s="1">
        <v>1</v>
      </c>
      <c r="F202" s="2" t="s">
        <v>1400</v>
      </c>
      <c r="G202" s="2" t="s">
        <v>1363</v>
      </c>
      <c r="H202" s="2" t="s">
        <v>31</v>
      </c>
      <c r="I202" s="2" t="s">
        <v>32</v>
      </c>
      <c r="J202" s="2" t="s">
        <v>322</v>
      </c>
      <c r="K202" s="10" t="s">
        <v>2835</v>
      </c>
      <c r="L202" s="2" t="s">
        <v>1401</v>
      </c>
      <c r="M202" s="2" t="s">
        <v>1402</v>
      </c>
      <c r="N202" s="2" t="s">
        <v>31</v>
      </c>
      <c r="O202" s="2" t="s">
        <v>31</v>
      </c>
      <c r="P202" s="2" t="s">
        <v>1403</v>
      </c>
      <c r="Q202" s="2" t="s">
        <v>1404</v>
      </c>
      <c r="R202" s="2" t="s">
        <v>48</v>
      </c>
      <c r="S202" s="2" t="s">
        <v>31</v>
      </c>
      <c r="T202" s="2" t="s">
        <v>1405</v>
      </c>
      <c r="U202" s="2">
        <v>0</v>
      </c>
      <c r="V202" s="10">
        <v>1905</v>
      </c>
      <c r="W202" s="10">
        <v>625</v>
      </c>
      <c r="X202" s="11">
        <v>0</v>
      </c>
      <c r="Y202" s="11">
        <v>1</v>
      </c>
      <c r="Z202" s="2" t="s">
        <v>31</v>
      </c>
      <c r="AA202" s="2" t="s">
        <v>1406</v>
      </c>
      <c r="AB202" s="3">
        <v>44659</v>
      </c>
      <c r="AC202" s="2">
        <v>557000</v>
      </c>
      <c r="AD202" s="2" t="s">
        <v>39</v>
      </c>
      <c r="AE202" s="2">
        <v>1.56</v>
      </c>
      <c r="AF202" s="4">
        <v>497700</v>
      </c>
      <c r="AG202" s="8">
        <v>5096.45</v>
      </c>
      <c r="AH202" s="8">
        <f t="shared" si="12"/>
        <v>5479.1933949999993</v>
      </c>
      <c r="AI202" s="8">
        <f t="shared" si="13"/>
        <v>382.74339499999951</v>
      </c>
      <c r="AJ202" s="8">
        <f t="shared" si="14"/>
        <v>5372.1679450000001</v>
      </c>
      <c r="AK202" s="8">
        <f t="shared" si="15"/>
        <v>275.71794500000033</v>
      </c>
    </row>
    <row r="203" spans="1:37" x14ac:dyDescent="0.3">
      <c r="A203" s="1">
        <v>217</v>
      </c>
      <c r="B203" s="2" t="s">
        <v>1407</v>
      </c>
      <c r="C203" s="2" t="s">
        <v>100</v>
      </c>
      <c r="D203" s="2" t="s">
        <v>101</v>
      </c>
      <c r="E203" s="1">
        <v>1</v>
      </c>
      <c r="F203" s="2" t="s">
        <v>1408</v>
      </c>
      <c r="G203" s="2" t="s">
        <v>1363</v>
      </c>
      <c r="H203" s="2" t="s">
        <v>31</v>
      </c>
      <c r="I203" s="2" t="s">
        <v>32</v>
      </c>
      <c r="J203" s="2" t="s">
        <v>332</v>
      </c>
      <c r="K203" s="10" t="s">
        <v>2835</v>
      </c>
      <c r="L203" s="2" t="s">
        <v>1409</v>
      </c>
      <c r="M203" s="2" t="s">
        <v>1410</v>
      </c>
      <c r="N203" s="2" t="s">
        <v>1411</v>
      </c>
      <c r="O203" s="2" t="s">
        <v>1412</v>
      </c>
      <c r="P203" s="2" t="s">
        <v>1413</v>
      </c>
      <c r="Q203" s="2" t="s">
        <v>1414</v>
      </c>
      <c r="R203" s="2" t="s">
        <v>48</v>
      </c>
      <c r="S203" s="2" t="s">
        <v>31</v>
      </c>
      <c r="T203" s="2" t="s">
        <v>1415</v>
      </c>
      <c r="U203" s="2">
        <v>0</v>
      </c>
      <c r="V203" s="10">
        <v>1905</v>
      </c>
      <c r="W203" s="10">
        <v>610</v>
      </c>
      <c r="X203" s="11">
        <v>0</v>
      </c>
      <c r="Y203" s="11">
        <v>1</v>
      </c>
      <c r="Z203" s="2" t="s">
        <v>31</v>
      </c>
      <c r="AA203" s="2" t="s">
        <v>1416</v>
      </c>
      <c r="AB203" s="3">
        <v>40039</v>
      </c>
      <c r="AC203" s="2">
        <v>153000</v>
      </c>
      <c r="AD203" s="2" t="s">
        <v>39</v>
      </c>
      <c r="AE203" s="2">
        <v>1.56</v>
      </c>
      <c r="AF203" s="4">
        <v>461700</v>
      </c>
      <c r="AG203" s="8">
        <v>4727.8100000000004</v>
      </c>
      <c r="AH203" s="8">
        <f t="shared" si="12"/>
        <v>5082.8685310000001</v>
      </c>
      <c r="AI203" s="8">
        <f t="shared" si="13"/>
        <v>355.05853099999968</v>
      </c>
      <c r="AJ203" s="8">
        <f t="shared" si="14"/>
        <v>4983.5845210000007</v>
      </c>
      <c r="AK203" s="8">
        <f t="shared" si="15"/>
        <v>255.77452100000028</v>
      </c>
    </row>
    <row r="204" spans="1:37" x14ac:dyDescent="0.3">
      <c r="A204" s="1">
        <v>218</v>
      </c>
      <c r="B204" s="2" t="s">
        <v>1417</v>
      </c>
      <c r="C204" s="2" t="s">
        <v>100</v>
      </c>
      <c r="D204" s="2" t="s">
        <v>101</v>
      </c>
      <c r="E204" s="1">
        <v>1</v>
      </c>
      <c r="F204" s="2" t="s">
        <v>1418</v>
      </c>
      <c r="G204" s="2" t="s">
        <v>1363</v>
      </c>
      <c r="H204" s="2" t="s">
        <v>31</v>
      </c>
      <c r="I204" s="2" t="s">
        <v>32</v>
      </c>
      <c r="J204" s="2" t="s">
        <v>1419</v>
      </c>
      <c r="K204" s="10" t="s">
        <v>2835</v>
      </c>
      <c r="L204" s="2" t="s">
        <v>1276</v>
      </c>
      <c r="M204" s="2" t="s">
        <v>1420</v>
      </c>
      <c r="N204" s="2" t="s">
        <v>1421</v>
      </c>
      <c r="O204" s="2" t="s">
        <v>1422</v>
      </c>
      <c r="P204" s="2" t="s">
        <v>1423</v>
      </c>
      <c r="Q204" s="2" t="s">
        <v>59</v>
      </c>
      <c r="R204" s="2" t="s">
        <v>48</v>
      </c>
      <c r="S204" s="2" t="s">
        <v>31</v>
      </c>
      <c r="T204" s="2" t="s">
        <v>60</v>
      </c>
      <c r="U204" s="2">
        <v>0</v>
      </c>
      <c r="V204" s="10">
        <v>1905</v>
      </c>
      <c r="W204" s="10">
        <v>930</v>
      </c>
      <c r="X204" s="11">
        <v>0</v>
      </c>
      <c r="Y204" s="11">
        <v>1</v>
      </c>
      <c r="Z204" s="2" t="s">
        <v>31</v>
      </c>
      <c r="AA204" s="2" t="s">
        <v>1424</v>
      </c>
      <c r="AB204" s="3">
        <v>42388</v>
      </c>
      <c r="AC204" s="2">
        <v>645000</v>
      </c>
      <c r="AD204" s="2" t="s">
        <v>39</v>
      </c>
      <c r="AE204" s="2">
        <v>2.79</v>
      </c>
      <c r="AF204" s="4">
        <v>777800</v>
      </c>
      <c r="AG204" s="8">
        <v>7964.67</v>
      </c>
      <c r="AH204" s="8">
        <f t="shared" si="12"/>
        <v>8562.8167169999997</v>
      </c>
      <c r="AI204" s="8">
        <f t="shared" si="13"/>
        <v>598.14671699999963</v>
      </c>
      <c r="AJ204" s="8">
        <f t="shared" si="14"/>
        <v>8395.5586469999998</v>
      </c>
      <c r="AK204" s="8">
        <f t="shared" si="15"/>
        <v>430.88864699999976</v>
      </c>
    </row>
    <row r="205" spans="1:37" x14ac:dyDescent="0.3">
      <c r="A205" s="1">
        <v>219</v>
      </c>
      <c r="B205" s="2" t="s">
        <v>1425</v>
      </c>
      <c r="C205" s="2" t="s">
        <v>100</v>
      </c>
      <c r="D205" s="2" t="s">
        <v>101</v>
      </c>
      <c r="E205" s="1">
        <v>1</v>
      </c>
      <c r="F205" s="2" t="s">
        <v>1426</v>
      </c>
      <c r="G205" s="2" t="s">
        <v>1363</v>
      </c>
      <c r="H205" s="2" t="s">
        <v>31</v>
      </c>
      <c r="I205" s="2" t="s">
        <v>32</v>
      </c>
      <c r="J205" s="2" t="s">
        <v>1427</v>
      </c>
      <c r="K205" s="10" t="s">
        <v>2835</v>
      </c>
      <c r="L205" s="2" t="s">
        <v>232</v>
      </c>
      <c r="M205" s="2" t="s">
        <v>1428</v>
      </c>
      <c r="N205" s="2" t="s">
        <v>1276</v>
      </c>
      <c r="O205" s="2" t="s">
        <v>1429</v>
      </c>
      <c r="P205" s="2" t="s">
        <v>1430</v>
      </c>
      <c r="Q205" s="2" t="s">
        <v>59</v>
      </c>
      <c r="R205" s="2" t="s">
        <v>48</v>
      </c>
      <c r="S205" s="2" t="s">
        <v>31</v>
      </c>
      <c r="T205" s="2" t="s">
        <v>60</v>
      </c>
      <c r="U205" s="2">
        <v>0</v>
      </c>
      <c r="V205" s="10">
        <v>1905</v>
      </c>
      <c r="W205" s="10">
        <v>945</v>
      </c>
      <c r="X205" s="11">
        <v>0</v>
      </c>
      <c r="Y205" s="11">
        <v>1</v>
      </c>
      <c r="Z205" s="2" t="s">
        <v>31</v>
      </c>
      <c r="AA205" s="2" t="s">
        <v>1431</v>
      </c>
      <c r="AB205" s="3">
        <v>44713</v>
      </c>
      <c r="AC205" s="2">
        <v>875000</v>
      </c>
      <c r="AD205" s="2" t="s">
        <v>107</v>
      </c>
      <c r="AE205" s="2">
        <v>2.79</v>
      </c>
      <c r="AF205" s="4">
        <v>813800</v>
      </c>
      <c r="AG205" s="8">
        <v>4698.38</v>
      </c>
      <c r="AH205" s="8">
        <f t="shared" si="12"/>
        <v>5051.2283379999999</v>
      </c>
      <c r="AI205" s="8">
        <f t="shared" si="13"/>
        <v>352.84833799999979</v>
      </c>
      <c r="AJ205" s="8">
        <f t="shared" si="14"/>
        <v>4952.5623580000001</v>
      </c>
      <c r="AK205" s="8">
        <f t="shared" si="15"/>
        <v>254.18235800000002</v>
      </c>
    </row>
    <row r="206" spans="1:37" x14ac:dyDescent="0.3">
      <c r="A206" s="1">
        <v>220</v>
      </c>
      <c r="B206" s="2" t="s">
        <v>1432</v>
      </c>
      <c r="C206" s="2" t="s">
        <v>100</v>
      </c>
      <c r="D206" s="2" t="s">
        <v>101</v>
      </c>
      <c r="E206" s="1">
        <v>1</v>
      </c>
      <c r="F206" s="2" t="s">
        <v>1433</v>
      </c>
      <c r="G206" s="2" t="s">
        <v>1363</v>
      </c>
      <c r="H206" s="2" t="s">
        <v>31</v>
      </c>
      <c r="I206" s="2" t="s">
        <v>32</v>
      </c>
      <c r="J206" s="2" t="s">
        <v>813</v>
      </c>
      <c r="K206" s="10" t="s">
        <v>2835</v>
      </c>
      <c r="L206" s="2" t="s">
        <v>1434</v>
      </c>
      <c r="M206" s="2" t="s">
        <v>1435</v>
      </c>
      <c r="N206" s="2" t="s">
        <v>1436</v>
      </c>
      <c r="O206" s="2" t="s">
        <v>1437</v>
      </c>
      <c r="P206" s="2" t="s">
        <v>1438</v>
      </c>
      <c r="Q206" s="2" t="s">
        <v>1439</v>
      </c>
      <c r="R206" s="2" t="s">
        <v>48</v>
      </c>
      <c r="S206" s="2" t="s">
        <v>31</v>
      </c>
      <c r="T206" s="2" t="s">
        <v>436</v>
      </c>
      <c r="U206" s="2">
        <v>0</v>
      </c>
      <c r="V206" s="10">
        <v>1905</v>
      </c>
      <c r="W206" s="10">
        <v>625</v>
      </c>
      <c r="X206" s="11">
        <v>0</v>
      </c>
      <c r="Y206" s="11">
        <v>1</v>
      </c>
      <c r="Z206" s="2" t="s">
        <v>31</v>
      </c>
      <c r="AA206" s="2" t="s">
        <v>1440</v>
      </c>
      <c r="AB206" s="3">
        <v>42394</v>
      </c>
      <c r="AC206" s="2">
        <v>10</v>
      </c>
      <c r="AD206" s="2" t="s">
        <v>39</v>
      </c>
      <c r="AE206" s="2">
        <v>1.47</v>
      </c>
      <c r="AF206" s="4">
        <v>479300</v>
      </c>
      <c r="AG206" s="8">
        <v>4908.03</v>
      </c>
      <c r="AH206" s="8">
        <f t="shared" si="12"/>
        <v>5276.6230529999993</v>
      </c>
      <c r="AI206" s="8">
        <f t="shared" si="13"/>
        <v>368.5930529999996</v>
      </c>
      <c r="AJ206" s="8">
        <f t="shared" si="14"/>
        <v>5173.5544229999996</v>
      </c>
      <c r="AK206" s="8">
        <f t="shared" si="15"/>
        <v>265.52442299999984</v>
      </c>
    </row>
    <row r="207" spans="1:37" x14ac:dyDescent="0.3">
      <c r="A207" s="1">
        <v>221</v>
      </c>
      <c r="B207" s="2" t="s">
        <v>1441</v>
      </c>
      <c r="C207" s="2" t="s">
        <v>100</v>
      </c>
      <c r="D207" s="2" t="s">
        <v>101</v>
      </c>
      <c r="E207" s="1">
        <v>1</v>
      </c>
      <c r="F207" s="2" t="s">
        <v>1442</v>
      </c>
      <c r="G207" s="2" t="s">
        <v>1363</v>
      </c>
      <c r="H207" s="2" t="s">
        <v>31</v>
      </c>
      <c r="I207" s="2" t="s">
        <v>32</v>
      </c>
      <c r="J207" s="2" t="s">
        <v>725</v>
      </c>
      <c r="K207" s="10" t="s">
        <v>2835</v>
      </c>
      <c r="L207" s="2" t="s">
        <v>1276</v>
      </c>
      <c r="M207" s="2" t="s">
        <v>1378</v>
      </c>
      <c r="N207" s="2" t="s">
        <v>1443</v>
      </c>
      <c r="O207" s="2" t="s">
        <v>1444</v>
      </c>
      <c r="P207" s="2" t="s">
        <v>1445</v>
      </c>
      <c r="Q207" s="2" t="s">
        <v>86</v>
      </c>
      <c r="R207" s="2" t="s">
        <v>48</v>
      </c>
      <c r="S207" s="2" t="s">
        <v>31</v>
      </c>
      <c r="T207" s="2" t="s">
        <v>1446</v>
      </c>
      <c r="U207" s="2">
        <v>0</v>
      </c>
      <c r="V207" s="10">
        <v>1905</v>
      </c>
      <c r="W207" s="10">
        <v>640</v>
      </c>
      <c r="X207" s="11">
        <v>0</v>
      </c>
      <c r="Y207" s="11">
        <v>1</v>
      </c>
      <c r="Z207" s="2" t="s">
        <v>31</v>
      </c>
      <c r="AA207" s="2" t="s">
        <v>1447</v>
      </c>
      <c r="AB207" s="3">
        <v>42024</v>
      </c>
      <c r="AC207" s="2">
        <v>1</v>
      </c>
      <c r="AD207" s="2" t="s">
        <v>39</v>
      </c>
      <c r="AE207" s="2">
        <v>1.56</v>
      </c>
      <c r="AF207" s="4">
        <v>482700</v>
      </c>
      <c r="AG207" s="8">
        <v>4942.8500000000004</v>
      </c>
      <c r="AH207" s="8">
        <f t="shared" si="12"/>
        <v>5314.058035</v>
      </c>
      <c r="AI207" s="8">
        <f t="shared" si="13"/>
        <v>371.20803499999965</v>
      </c>
      <c r="AJ207" s="8">
        <f t="shared" si="14"/>
        <v>5210.2581850000006</v>
      </c>
      <c r="AK207" s="8">
        <f t="shared" si="15"/>
        <v>267.40818500000023</v>
      </c>
    </row>
    <row r="208" spans="1:37" x14ac:dyDescent="0.3">
      <c r="A208" s="1">
        <v>222</v>
      </c>
      <c r="B208" s="2" t="s">
        <v>1448</v>
      </c>
      <c r="C208" s="2" t="s">
        <v>100</v>
      </c>
      <c r="D208" s="2" t="s">
        <v>101</v>
      </c>
      <c r="E208" s="1">
        <v>1</v>
      </c>
      <c r="F208" s="2" t="s">
        <v>1449</v>
      </c>
      <c r="G208" s="2" t="s">
        <v>1363</v>
      </c>
      <c r="H208" s="2" t="s">
        <v>31</v>
      </c>
      <c r="I208" s="2" t="s">
        <v>32</v>
      </c>
      <c r="J208" s="2" t="s">
        <v>1450</v>
      </c>
      <c r="K208" s="10" t="s">
        <v>2835</v>
      </c>
      <c r="L208" s="2" t="s">
        <v>1451</v>
      </c>
      <c r="M208" s="2" t="s">
        <v>1452</v>
      </c>
      <c r="N208" s="2" t="s">
        <v>1453</v>
      </c>
      <c r="O208" s="2" t="s">
        <v>1454</v>
      </c>
      <c r="P208" s="2" t="s">
        <v>1455</v>
      </c>
      <c r="Q208" s="2" t="s">
        <v>59</v>
      </c>
      <c r="R208" s="2" t="s">
        <v>48</v>
      </c>
      <c r="S208" s="2" t="s">
        <v>31</v>
      </c>
      <c r="T208" s="2" t="s">
        <v>60</v>
      </c>
      <c r="U208" s="2">
        <v>0</v>
      </c>
      <c r="V208" s="10">
        <v>1905</v>
      </c>
      <c r="W208" s="10">
        <v>935</v>
      </c>
      <c r="X208" s="11">
        <v>0</v>
      </c>
      <c r="Y208" s="11">
        <v>1</v>
      </c>
      <c r="Z208" s="2" t="s">
        <v>31</v>
      </c>
      <c r="AA208" s="2" t="s">
        <v>1456</v>
      </c>
      <c r="AB208" s="3">
        <v>37712</v>
      </c>
      <c r="AC208" s="2">
        <v>389000</v>
      </c>
      <c r="AD208" s="2" t="s">
        <v>107</v>
      </c>
      <c r="AE208" s="2">
        <v>2.58</v>
      </c>
      <c r="AF208" s="4">
        <v>780300</v>
      </c>
      <c r="AG208" s="8">
        <v>4355.34</v>
      </c>
      <c r="AH208" s="8">
        <f t="shared" si="12"/>
        <v>4682.4260340000001</v>
      </c>
      <c r="AI208" s="8">
        <f t="shared" si="13"/>
        <v>327.08603399999993</v>
      </c>
      <c r="AJ208" s="8">
        <f t="shared" si="14"/>
        <v>4590.9638940000004</v>
      </c>
      <c r="AK208" s="8">
        <f t="shared" si="15"/>
        <v>235.62389400000029</v>
      </c>
    </row>
    <row r="209" spans="1:37" x14ac:dyDescent="0.3">
      <c r="A209" s="1">
        <v>223</v>
      </c>
      <c r="B209" s="2" t="s">
        <v>1457</v>
      </c>
      <c r="C209" s="2" t="s">
        <v>100</v>
      </c>
      <c r="D209" s="2" t="s">
        <v>101</v>
      </c>
      <c r="E209" s="1">
        <v>1</v>
      </c>
      <c r="F209" s="2" t="s">
        <v>1458</v>
      </c>
      <c r="G209" s="2" t="s">
        <v>1363</v>
      </c>
      <c r="H209" s="2" t="s">
        <v>31</v>
      </c>
      <c r="I209" s="2" t="s">
        <v>32</v>
      </c>
      <c r="J209" s="2" t="s">
        <v>1459</v>
      </c>
      <c r="K209" s="10" t="s">
        <v>2835</v>
      </c>
      <c r="L209" s="2" t="s">
        <v>1460</v>
      </c>
      <c r="M209" s="2" t="s">
        <v>1461</v>
      </c>
      <c r="N209" s="2" t="s">
        <v>31</v>
      </c>
      <c r="O209" s="2" t="s">
        <v>31</v>
      </c>
      <c r="P209" s="2" t="s">
        <v>1462</v>
      </c>
      <c r="Q209" s="2" t="s">
        <v>59</v>
      </c>
      <c r="R209" s="2" t="s">
        <v>48</v>
      </c>
      <c r="S209" s="2" t="s">
        <v>31</v>
      </c>
      <c r="T209" s="2" t="s">
        <v>60</v>
      </c>
      <c r="U209" s="2">
        <v>0</v>
      </c>
      <c r="V209" s="10">
        <v>1905</v>
      </c>
      <c r="W209" s="10">
        <v>950</v>
      </c>
      <c r="X209" s="11">
        <v>0</v>
      </c>
      <c r="Y209" s="11">
        <v>1</v>
      </c>
      <c r="Z209" s="2" t="s">
        <v>31</v>
      </c>
      <c r="AA209" s="2" t="s">
        <v>1463</v>
      </c>
      <c r="AB209" s="3">
        <v>42124</v>
      </c>
      <c r="AC209" s="2">
        <v>660000</v>
      </c>
      <c r="AD209" s="2" t="s">
        <v>107</v>
      </c>
      <c r="AE209" s="2">
        <v>2.58</v>
      </c>
      <c r="AF209" s="4">
        <v>865200</v>
      </c>
      <c r="AG209" s="8">
        <v>5224.71</v>
      </c>
      <c r="AH209" s="8">
        <f t="shared" si="12"/>
        <v>5617.0857209999995</v>
      </c>
      <c r="AI209" s="8">
        <f t="shared" si="13"/>
        <v>392.37572099999943</v>
      </c>
      <c r="AJ209" s="8">
        <f t="shared" si="14"/>
        <v>5507.3668109999999</v>
      </c>
      <c r="AK209" s="8">
        <f t="shared" si="15"/>
        <v>282.65681099999983</v>
      </c>
    </row>
    <row r="210" spans="1:37" x14ac:dyDescent="0.3">
      <c r="A210" s="1">
        <v>224</v>
      </c>
      <c r="B210" s="2" t="s">
        <v>1464</v>
      </c>
      <c r="C210" s="2" t="s">
        <v>100</v>
      </c>
      <c r="D210" s="2" t="s">
        <v>101</v>
      </c>
      <c r="E210" s="1">
        <v>1</v>
      </c>
      <c r="F210" s="2" t="s">
        <v>1465</v>
      </c>
      <c r="G210" s="2" t="s">
        <v>1363</v>
      </c>
      <c r="H210" s="2" t="s">
        <v>31</v>
      </c>
      <c r="I210" s="2" t="s">
        <v>32</v>
      </c>
      <c r="J210" s="2" t="s">
        <v>1466</v>
      </c>
      <c r="K210" s="10" t="s">
        <v>2835</v>
      </c>
      <c r="L210" s="2" t="s">
        <v>1467</v>
      </c>
      <c r="M210" s="2" t="s">
        <v>958</v>
      </c>
      <c r="N210" s="2" t="s">
        <v>31</v>
      </c>
      <c r="O210" s="2" t="s">
        <v>31</v>
      </c>
      <c r="P210" s="2" t="s">
        <v>1468</v>
      </c>
      <c r="Q210" s="2" t="s">
        <v>59</v>
      </c>
      <c r="R210" s="2" t="s">
        <v>48</v>
      </c>
      <c r="S210" s="2" t="s">
        <v>31</v>
      </c>
      <c r="T210" s="2" t="s">
        <v>60</v>
      </c>
      <c r="U210" s="2">
        <v>0</v>
      </c>
      <c r="V210" s="10">
        <v>1905</v>
      </c>
      <c r="W210" s="10">
        <v>620</v>
      </c>
      <c r="X210" s="11">
        <v>0</v>
      </c>
      <c r="Y210" s="11">
        <v>1</v>
      </c>
      <c r="Z210" s="2" t="s">
        <v>31</v>
      </c>
      <c r="AA210" s="2" t="s">
        <v>1469</v>
      </c>
      <c r="AB210" s="3">
        <v>45586</v>
      </c>
      <c r="AC210" s="2">
        <v>664000</v>
      </c>
      <c r="AD210" s="2" t="s">
        <v>107</v>
      </c>
      <c r="AE210" s="2">
        <v>1.43</v>
      </c>
      <c r="AF210" s="4">
        <v>604200</v>
      </c>
      <c r="AG210" s="8">
        <v>2552.0700000000002</v>
      </c>
      <c r="AH210" s="8">
        <f t="shared" si="12"/>
        <v>2743.7304570000001</v>
      </c>
      <c r="AI210" s="8">
        <f t="shared" si="13"/>
        <v>191.66045699999995</v>
      </c>
      <c r="AJ210" s="8">
        <f t="shared" si="14"/>
        <v>2690.1369870000003</v>
      </c>
      <c r="AK210" s="8">
        <f t="shared" si="15"/>
        <v>138.06698700000015</v>
      </c>
    </row>
    <row r="211" spans="1:37" x14ac:dyDescent="0.3">
      <c r="A211" s="1">
        <v>225</v>
      </c>
      <c r="B211" s="2" t="s">
        <v>1470</v>
      </c>
      <c r="C211" s="2" t="s">
        <v>100</v>
      </c>
      <c r="D211" s="2" t="s">
        <v>101</v>
      </c>
      <c r="E211" s="1">
        <v>1</v>
      </c>
      <c r="F211" s="2" t="s">
        <v>1471</v>
      </c>
      <c r="G211" s="2" t="s">
        <v>1363</v>
      </c>
      <c r="H211" s="2" t="s">
        <v>31</v>
      </c>
      <c r="I211" s="2" t="s">
        <v>32</v>
      </c>
      <c r="J211" s="2" t="s">
        <v>1472</v>
      </c>
      <c r="K211" s="10" t="s">
        <v>2835</v>
      </c>
      <c r="L211" s="2" t="s">
        <v>1473</v>
      </c>
      <c r="M211" s="2" t="s">
        <v>1474</v>
      </c>
      <c r="N211" s="2" t="s">
        <v>31</v>
      </c>
      <c r="O211" s="2" t="s">
        <v>31</v>
      </c>
      <c r="P211" s="2" t="s">
        <v>1475</v>
      </c>
      <c r="Q211" s="2" t="s">
        <v>1476</v>
      </c>
      <c r="R211" s="2" t="s">
        <v>48</v>
      </c>
      <c r="S211" s="2" t="s">
        <v>31</v>
      </c>
      <c r="T211" s="2" t="s">
        <v>1477</v>
      </c>
      <c r="U211" s="2">
        <v>0</v>
      </c>
      <c r="V211" s="10">
        <v>1905</v>
      </c>
      <c r="W211" s="10">
        <v>610</v>
      </c>
      <c r="X211" s="11">
        <v>0</v>
      </c>
      <c r="Y211" s="11">
        <v>1</v>
      </c>
      <c r="Z211" s="2" t="s">
        <v>31</v>
      </c>
      <c r="AA211" s="2" t="s">
        <v>1478</v>
      </c>
      <c r="AB211" s="3">
        <v>32666</v>
      </c>
      <c r="AC211" s="2">
        <v>100</v>
      </c>
      <c r="AD211" s="2" t="s">
        <v>39</v>
      </c>
      <c r="AE211" s="2">
        <v>1.43</v>
      </c>
      <c r="AF211" s="4">
        <v>561800</v>
      </c>
      <c r="AG211" s="8">
        <v>5752.83</v>
      </c>
      <c r="AH211" s="8">
        <f t="shared" si="12"/>
        <v>6184.8675329999996</v>
      </c>
      <c r="AI211" s="8">
        <f t="shared" si="13"/>
        <v>432.03753299999971</v>
      </c>
      <c r="AJ211" s="8">
        <f t="shared" si="14"/>
        <v>6064.0581030000003</v>
      </c>
      <c r="AK211" s="8">
        <f t="shared" si="15"/>
        <v>311.22810300000037</v>
      </c>
    </row>
    <row r="212" spans="1:37" x14ac:dyDescent="0.3">
      <c r="A212" s="1">
        <v>226</v>
      </c>
      <c r="B212" s="2" t="s">
        <v>1479</v>
      </c>
      <c r="C212" s="2" t="s">
        <v>100</v>
      </c>
      <c r="D212" s="2" t="s">
        <v>101</v>
      </c>
      <c r="E212" s="1">
        <v>1</v>
      </c>
      <c r="F212" s="2" t="s">
        <v>1480</v>
      </c>
      <c r="G212" s="2" t="s">
        <v>1363</v>
      </c>
      <c r="H212" s="2" t="s">
        <v>31</v>
      </c>
      <c r="I212" s="2" t="s">
        <v>32</v>
      </c>
      <c r="J212" s="2" t="s">
        <v>1481</v>
      </c>
      <c r="K212" s="10" t="s">
        <v>2835</v>
      </c>
      <c r="L212" s="2" t="s">
        <v>1482</v>
      </c>
      <c r="M212" s="2" t="s">
        <v>1483</v>
      </c>
      <c r="N212" s="2" t="s">
        <v>1484</v>
      </c>
      <c r="O212" s="2" t="s">
        <v>1485</v>
      </c>
      <c r="P212" s="2" t="s">
        <v>1486</v>
      </c>
      <c r="Q212" s="2" t="s">
        <v>59</v>
      </c>
      <c r="R212" s="2" t="s">
        <v>48</v>
      </c>
      <c r="S212" s="2" t="s">
        <v>31</v>
      </c>
      <c r="T212" s="2" t="s">
        <v>60</v>
      </c>
      <c r="U212" s="2">
        <v>0</v>
      </c>
      <c r="V212" s="10">
        <v>1905</v>
      </c>
      <c r="W212" s="10">
        <v>925</v>
      </c>
      <c r="X212" s="11">
        <v>0</v>
      </c>
      <c r="Y212" s="11">
        <v>1</v>
      </c>
      <c r="Z212" s="2" t="s">
        <v>31</v>
      </c>
      <c r="AA212" s="2" t="s">
        <v>1487</v>
      </c>
      <c r="AB212" s="3">
        <v>42677</v>
      </c>
      <c r="AC212" s="2">
        <v>725000</v>
      </c>
      <c r="AD212" s="2" t="s">
        <v>39</v>
      </c>
      <c r="AE212" s="2">
        <v>2.4500000000000002</v>
      </c>
      <c r="AF212" s="4">
        <v>758100</v>
      </c>
      <c r="AG212" s="8">
        <v>7762.94</v>
      </c>
      <c r="AH212" s="8">
        <f t="shared" si="12"/>
        <v>8345.9367939999993</v>
      </c>
      <c r="AI212" s="8">
        <f t="shared" si="13"/>
        <v>582.99679399999968</v>
      </c>
      <c r="AJ212" s="8">
        <f t="shared" si="14"/>
        <v>8182.9150540000001</v>
      </c>
      <c r="AK212" s="8">
        <f t="shared" si="15"/>
        <v>419.97505400000045</v>
      </c>
    </row>
    <row r="213" spans="1:37" x14ac:dyDescent="0.3">
      <c r="A213" s="1">
        <v>227</v>
      </c>
      <c r="B213" s="2" t="s">
        <v>1488</v>
      </c>
      <c r="C213" s="2" t="s">
        <v>100</v>
      </c>
      <c r="D213" s="2" t="s">
        <v>101</v>
      </c>
      <c r="E213" s="1">
        <v>1</v>
      </c>
      <c r="F213" s="2" t="s">
        <v>1489</v>
      </c>
      <c r="G213" s="2" t="s">
        <v>1363</v>
      </c>
      <c r="H213" s="2" t="s">
        <v>31</v>
      </c>
      <c r="I213" s="2" t="s">
        <v>32</v>
      </c>
      <c r="J213" s="2" t="s">
        <v>523</v>
      </c>
      <c r="K213" s="10" t="s">
        <v>2835</v>
      </c>
      <c r="L213" s="2" t="s">
        <v>1490</v>
      </c>
      <c r="M213" s="2" t="s">
        <v>1491</v>
      </c>
      <c r="N213" s="2" t="s">
        <v>1492</v>
      </c>
      <c r="O213" s="2" t="s">
        <v>1493</v>
      </c>
      <c r="P213" s="2" t="s">
        <v>1494</v>
      </c>
      <c r="Q213" s="2" t="s">
        <v>1495</v>
      </c>
      <c r="R213" s="2" t="s">
        <v>1496</v>
      </c>
      <c r="S213" s="2" t="s">
        <v>31</v>
      </c>
      <c r="T213" s="2" t="s">
        <v>1497</v>
      </c>
      <c r="U213" s="2">
        <v>0</v>
      </c>
      <c r="V213" s="10">
        <v>1905</v>
      </c>
      <c r="W213" s="10">
        <v>925</v>
      </c>
      <c r="X213" s="11">
        <v>0</v>
      </c>
      <c r="Y213" s="11">
        <v>1</v>
      </c>
      <c r="Z213" s="2" t="s">
        <v>31</v>
      </c>
      <c r="AA213" s="2" t="s">
        <v>1498</v>
      </c>
      <c r="AB213" s="3">
        <v>36524</v>
      </c>
      <c r="AC213" s="2">
        <v>224750</v>
      </c>
      <c r="AD213" s="2" t="s">
        <v>39</v>
      </c>
      <c r="AE213" s="2">
        <v>2.4500000000000002</v>
      </c>
      <c r="AF213" s="4">
        <v>663700</v>
      </c>
      <c r="AG213" s="8">
        <v>6796.29</v>
      </c>
      <c r="AH213" s="8">
        <f t="shared" si="12"/>
        <v>7306.6913789999999</v>
      </c>
      <c r="AI213" s="8">
        <f t="shared" si="13"/>
        <v>510.40137899999991</v>
      </c>
      <c r="AJ213" s="8">
        <f t="shared" si="14"/>
        <v>7163.9692890000006</v>
      </c>
      <c r="AK213" s="8">
        <f t="shared" si="15"/>
        <v>367.67928900000061</v>
      </c>
    </row>
    <row r="214" spans="1:37" x14ac:dyDescent="0.3">
      <c r="A214" s="1">
        <v>228</v>
      </c>
      <c r="B214" s="2" t="s">
        <v>1499</v>
      </c>
      <c r="C214" s="2" t="s">
        <v>100</v>
      </c>
      <c r="D214" s="2" t="s">
        <v>101</v>
      </c>
      <c r="E214" s="1">
        <v>1</v>
      </c>
      <c r="F214" s="2" t="s">
        <v>1500</v>
      </c>
      <c r="G214" s="2" t="s">
        <v>1363</v>
      </c>
      <c r="H214" s="2" t="s">
        <v>31</v>
      </c>
      <c r="I214" s="2" t="s">
        <v>32</v>
      </c>
      <c r="J214" s="2" t="s">
        <v>451</v>
      </c>
      <c r="K214" s="10" t="s">
        <v>2835</v>
      </c>
      <c r="L214" s="2" t="s">
        <v>1501</v>
      </c>
      <c r="M214" s="2" t="s">
        <v>1502</v>
      </c>
      <c r="N214" s="2" t="s">
        <v>31</v>
      </c>
      <c r="O214" s="2" t="s">
        <v>31</v>
      </c>
      <c r="P214" s="2" t="s">
        <v>1503</v>
      </c>
      <c r="Q214" s="2" t="s">
        <v>59</v>
      </c>
      <c r="R214" s="2" t="s">
        <v>48</v>
      </c>
      <c r="S214" s="2" t="s">
        <v>31</v>
      </c>
      <c r="T214" s="2" t="s">
        <v>60</v>
      </c>
      <c r="U214" s="2">
        <v>0</v>
      </c>
      <c r="V214" s="10">
        <v>1905</v>
      </c>
      <c r="W214" s="10">
        <v>630</v>
      </c>
      <c r="X214" s="11">
        <v>0</v>
      </c>
      <c r="Y214" s="11">
        <v>1</v>
      </c>
      <c r="Z214" s="2" t="s">
        <v>31</v>
      </c>
      <c r="AA214" s="2" t="s">
        <v>1504</v>
      </c>
      <c r="AB214" s="3">
        <v>37666</v>
      </c>
      <c r="AC214" s="2">
        <v>235000</v>
      </c>
      <c r="AD214" s="2" t="s">
        <v>39</v>
      </c>
      <c r="AE214" s="2">
        <v>1.22</v>
      </c>
      <c r="AF214" s="4">
        <v>491000</v>
      </c>
      <c r="AG214" s="8">
        <v>5027.84</v>
      </c>
      <c r="AH214" s="8">
        <f t="shared" si="12"/>
        <v>5405.4307840000001</v>
      </c>
      <c r="AI214" s="8">
        <f t="shared" si="13"/>
        <v>377.59078399999999</v>
      </c>
      <c r="AJ214" s="8">
        <f t="shared" si="14"/>
        <v>5299.8461440000001</v>
      </c>
      <c r="AK214" s="8">
        <f t="shared" si="15"/>
        <v>272.00614399999995</v>
      </c>
    </row>
    <row r="215" spans="1:37" x14ac:dyDescent="0.3">
      <c r="A215" s="1">
        <v>229</v>
      </c>
      <c r="B215" s="2" t="s">
        <v>1505</v>
      </c>
      <c r="C215" s="2" t="s">
        <v>100</v>
      </c>
      <c r="D215" s="2" t="s">
        <v>101</v>
      </c>
      <c r="E215" s="1">
        <v>1</v>
      </c>
      <c r="F215" s="2" t="s">
        <v>1506</v>
      </c>
      <c r="G215" s="2" t="s">
        <v>1363</v>
      </c>
      <c r="H215" s="2" t="s">
        <v>31</v>
      </c>
      <c r="I215" s="2" t="s">
        <v>32</v>
      </c>
      <c r="J215" s="2" t="s">
        <v>701</v>
      </c>
      <c r="K215" s="10" t="s">
        <v>2835</v>
      </c>
      <c r="L215" s="2" t="s">
        <v>1507</v>
      </c>
      <c r="M215" s="2" t="s">
        <v>1508</v>
      </c>
      <c r="N215" s="2" t="s">
        <v>31</v>
      </c>
      <c r="O215" s="2" t="s">
        <v>31</v>
      </c>
      <c r="P215" s="2" t="s">
        <v>1509</v>
      </c>
      <c r="Q215" s="2" t="s">
        <v>59</v>
      </c>
      <c r="R215" s="2" t="s">
        <v>48</v>
      </c>
      <c r="S215" s="2" t="s">
        <v>31</v>
      </c>
      <c r="T215" s="2" t="s">
        <v>60</v>
      </c>
      <c r="U215" s="2">
        <v>0</v>
      </c>
      <c r="V215" s="10">
        <v>1905</v>
      </c>
      <c r="W215" s="10">
        <v>635</v>
      </c>
      <c r="X215" s="11">
        <v>0</v>
      </c>
      <c r="Y215" s="11">
        <v>1</v>
      </c>
      <c r="Z215" s="2" t="s">
        <v>31</v>
      </c>
      <c r="AA215" s="2" t="s">
        <v>1510</v>
      </c>
      <c r="AB215" s="3">
        <v>43423</v>
      </c>
      <c r="AC215" s="2">
        <v>1</v>
      </c>
      <c r="AD215" s="2" t="s">
        <v>39</v>
      </c>
      <c r="AE215" s="2">
        <v>1.1599999999999999</v>
      </c>
      <c r="AF215" s="4">
        <v>479200</v>
      </c>
      <c r="AG215" s="8">
        <v>4907.01</v>
      </c>
      <c r="AH215" s="8">
        <f t="shared" si="12"/>
        <v>5275.5264509999997</v>
      </c>
      <c r="AI215" s="8">
        <f t="shared" si="13"/>
        <v>368.51645099999951</v>
      </c>
      <c r="AJ215" s="8">
        <f t="shared" si="14"/>
        <v>5172.479241</v>
      </c>
      <c r="AK215" s="8">
        <f t="shared" si="15"/>
        <v>265.46924099999978</v>
      </c>
    </row>
    <row r="216" spans="1:37" x14ac:dyDescent="0.3">
      <c r="A216" s="1">
        <v>230</v>
      </c>
      <c r="B216" s="2" t="s">
        <v>1511</v>
      </c>
      <c r="C216" s="2" t="s">
        <v>100</v>
      </c>
      <c r="D216" s="2" t="s">
        <v>101</v>
      </c>
      <c r="E216" s="1">
        <v>1</v>
      </c>
      <c r="F216" s="2" t="s">
        <v>1512</v>
      </c>
      <c r="G216" s="2" t="s">
        <v>1513</v>
      </c>
      <c r="H216" s="2" t="s">
        <v>31</v>
      </c>
      <c r="I216" s="2" t="s">
        <v>32</v>
      </c>
      <c r="J216" s="2" t="s">
        <v>66</v>
      </c>
      <c r="K216" s="10" t="s">
        <v>2835</v>
      </c>
      <c r="L216" s="2" t="s">
        <v>1514</v>
      </c>
      <c r="M216" s="2" t="s">
        <v>1515</v>
      </c>
      <c r="N216" s="2" t="s">
        <v>31</v>
      </c>
      <c r="O216" s="2" t="s">
        <v>31</v>
      </c>
      <c r="P216" s="2" t="s">
        <v>1516</v>
      </c>
      <c r="Q216" s="2" t="s">
        <v>1285</v>
      </c>
      <c r="R216" s="2" t="s">
        <v>48</v>
      </c>
      <c r="S216" s="2" t="s">
        <v>31</v>
      </c>
      <c r="T216" s="2" t="s">
        <v>1286</v>
      </c>
      <c r="U216" s="2">
        <v>0</v>
      </c>
      <c r="V216" s="10">
        <v>1905</v>
      </c>
      <c r="W216" s="10">
        <v>450</v>
      </c>
      <c r="X216" s="11">
        <v>0</v>
      </c>
      <c r="Y216" s="11">
        <v>1</v>
      </c>
      <c r="Z216" s="2" t="s">
        <v>31</v>
      </c>
      <c r="AA216" s="2" t="s">
        <v>1517</v>
      </c>
      <c r="AB216" s="3">
        <v>45708</v>
      </c>
      <c r="AC216" s="2">
        <v>1</v>
      </c>
      <c r="AD216" s="2" t="s">
        <v>39</v>
      </c>
      <c r="AE216" s="2">
        <v>0.41</v>
      </c>
      <c r="AF216" s="4">
        <v>349500</v>
      </c>
      <c r="AG216" s="8">
        <v>3578.88</v>
      </c>
      <c r="AH216" s="8">
        <f t="shared" si="12"/>
        <v>3847.6538879999998</v>
      </c>
      <c r="AI216" s="8">
        <f t="shared" si="13"/>
        <v>268.77388799999972</v>
      </c>
      <c r="AJ216" s="8">
        <f t="shared" si="14"/>
        <v>3772.4974080000002</v>
      </c>
      <c r="AK216" s="8">
        <f t="shared" si="15"/>
        <v>193.61740800000007</v>
      </c>
    </row>
    <row r="217" spans="1:37" x14ac:dyDescent="0.3">
      <c r="A217" s="1">
        <v>231</v>
      </c>
      <c r="B217" s="2" t="s">
        <v>1518</v>
      </c>
      <c r="C217" s="2" t="s">
        <v>100</v>
      </c>
      <c r="D217" s="2" t="s">
        <v>101</v>
      </c>
      <c r="E217" s="1">
        <v>1</v>
      </c>
      <c r="F217" s="2" t="s">
        <v>1519</v>
      </c>
      <c r="G217" s="2" t="s">
        <v>1513</v>
      </c>
      <c r="H217" s="2" t="s">
        <v>31</v>
      </c>
      <c r="I217" s="2" t="s">
        <v>32</v>
      </c>
      <c r="J217" s="2" t="s">
        <v>1520</v>
      </c>
      <c r="K217" s="10" t="s">
        <v>2835</v>
      </c>
      <c r="L217" s="2" t="s">
        <v>1521</v>
      </c>
      <c r="M217" s="2" t="s">
        <v>1522</v>
      </c>
      <c r="N217" s="2" t="s">
        <v>31</v>
      </c>
      <c r="O217" s="2" t="s">
        <v>31</v>
      </c>
      <c r="P217" s="2" t="s">
        <v>1523</v>
      </c>
      <c r="Q217" s="2" t="s">
        <v>1524</v>
      </c>
      <c r="R217" s="2" t="s">
        <v>48</v>
      </c>
      <c r="S217" s="2" t="s">
        <v>31</v>
      </c>
      <c r="T217" s="2" t="s">
        <v>1525</v>
      </c>
      <c r="U217" s="2">
        <v>0</v>
      </c>
      <c r="V217" s="10">
        <v>1905</v>
      </c>
      <c r="W217" s="10">
        <v>550</v>
      </c>
      <c r="X217" s="11">
        <v>0</v>
      </c>
      <c r="Y217" s="11">
        <v>1</v>
      </c>
      <c r="Z217" s="2" t="s">
        <v>31</v>
      </c>
      <c r="AA217" s="2" t="s">
        <v>1526</v>
      </c>
      <c r="AB217" s="3">
        <v>29469</v>
      </c>
      <c r="AC217" s="2">
        <v>16000</v>
      </c>
      <c r="AD217" s="2" t="s">
        <v>39</v>
      </c>
      <c r="AE217" s="2">
        <v>0.53</v>
      </c>
      <c r="AF217" s="4">
        <v>390800</v>
      </c>
      <c r="AG217" s="8">
        <v>4001.79</v>
      </c>
      <c r="AH217" s="8">
        <f t="shared" si="12"/>
        <v>4302.3244289999993</v>
      </c>
      <c r="AI217" s="8">
        <f t="shared" si="13"/>
        <v>300.53442899999936</v>
      </c>
      <c r="AJ217" s="8">
        <f t="shared" si="14"/>
        <v>4218.2868390000003</v>
      </c>
      <c r="AK217" s="8">
        <f t="shared" si="15"/>
        <v>216.49683900000036</v>
      </c>
    </row>
    <row r="218" spans="1:37" x14ac:dyDescent="0.3">
      <c r="A218" s="1">
        <v>232</v>
      </c>
      <c r="B218" s="2" t="s">
        <v>1527</v>
      </c>
      <c r="C218" s="2" t="s">
        <v>100</v>
      </c>
      <c r="D218" s="2" t="s">
        <v>101</v>
      </c>
      <c r="E218" s="1">
        <v>1</v>
      </c>
      <c r="F218" s="2" t="s">
        <v>1528</v>
      </c>
      <c r="G218" s="2" t="s">
        <v>1513</v>
      </c>
      <c r="H218" s="2" t="s">
        <v>31</v>
      </c>
      <c r="I218" s="2" t="s">
        <v>32</v>
      </c>
      <c r="J218" s="2" t="s">
        <v>1529</v>
      </c>
      <c r="K218" s="10" t="s">
        <v>2835</v>
      </c>
      <c r="L218" s="2" t="s">
        <v>1530</v>
      </c>
      <c r="M218" s="2" t="s">
        <v>1531</v>
      </c>
      <c r="N218" s="2" t="s">
        <v>31</v>
      </c>
      <c r="O218" s="2" t="s">
        <v>31</v>
      </c>
      <c r="P218" s="2" t="s">
        <v>1532</v>
      </c>
      <c r="Q218" s="2" t="s">
        <v>333</v>
      </c>
      <c r="R218" s="2" t="s">
        <v>48</v>
      </c>
      <c r="S218" s="2" t="s">
        <v>31</v>
      </c>
      <c r="T218" s="2" t="s">
        <v>1533</v>
      </c>
      <c r="U218" s="2">
        <v>0</v>
      </c>
      <c r="V218" s="10">
        <v>1905</v>
      </c>
      <c r="W218" s="10">
        <v>805</v>
      </c>
      <c r="X218" s="11">
        <v>0</v>
      </c>
      <c r="Y218" s="11">
        <v>1</v>
      </c>
      <c r="Z218" s="2" t="s">
        <v>31</v>
      </c>
      <c r="AA218" s="2" t="s">
        <v>1534</v>
      </c>
      <c r="AB218" s="3">
        <v>44524</v>
      </c>
      <c r="AC218" s="2">
        <v>100</v>
      </c>
      <c r="AD218" s="2" t="s">
        <v>39</v>
      </c>
      <c r="AE218" s="2">
        <v>2.0499999999999998</v>
      </c>
      <c r="AF218" s="4">
        <v>638700</v>
      </c>
      <c r="AG218" s="8">
        <v>6540.29</v>
      </c>
      <c r="AH218" s="8">
        <f t="shared" si="12"/>
        <v>7031.4657789999992</v>
      </c>
      <c r="AI218" s="8">
        <f t="shared" si="13"/>
        <v>491.17577899999924</v>
      </c>
      <c r="AJ218" s="8">
        <f t="shared" si="14"/>
        <v>6894.1196890000001</v>
      </c>
      <c r="AK218" s="8">
        <f t="shared" si="15"/>
        <v>353.82968900000014</v>
      </c>
    </row>
    <row r="219" spans="1:37" x14ac:dyDescent="0.3">
      <c r="A219" s="1">
        <v>233</v>
      </c>
      <c r="B219" s="2" t="s">
        <v>1535</v>
      </c>
      <c r="C219" s="2" t="s">
        <v>100</v>
      </c>
      <c r="D219" s="2" t="s">
        <v>101</v>
      </c>
      <c r="E219" s="1">
        <v>1</v>
      </c>
      <c r="F219" s="2" t="s">
        <v>1536</v>
      </c>
      <c r="G219" s="2" t="s">
        <v>1513</v>
      </c>
      <c r="H219" s="2" t="s">
        <v>31</v>
      </c>
      <c r="I219" s="2" t="s">
        <v>32</v>
      </c>
      <c r="J219" s="2" t="s">
        <v>314</v>
      </c>
      <c r="K219" s="10" t="s">
        <v>2835</v>
      </c>
      <c r="L219" s="2" t="s">
        <v>1537</v>
      </c>
      <c r="M219" s="2" t="s">
        <v>1538</v>
      </c>
      <c r="N219" s="2" t="s">
        <v>31</v>
      </c>
      <c r="O219" s="2" t="s">
        <v>31</v>
      </c>
      <c r="P219" s="2" t="s">
        <v>1539</v>
      </c>
      <c r="Q219" s="2" t="s">
        <v>333</v>
      </c>
      <c r="R219" s="2" t="s">
        <v>48</v>
      </c>
      <c r="S219" s="2" t="s">
        <v>31</v>
      </c>
      <c r="T219" s="2" t="s">
        <v>1308</v>
      </c>
      <c r="U219" s="2">
        <v>0</v>
      </c>
      <c r="V219" s="10">
        <v>1905</v>
      </c>
      <c r="W219" s="10">
        <v>950</v>
      </c>
      <c r="X219" s="11">
        <v>0</v>
      </c>
      <c r="Y219" s="11">
        <v>1</v>
      </c>
      <c r="Z219" s="2" t="s">
        <v>31</v>
      </c>
      <c r="AA219" s="2" t="s">
        <v>1540</v>
      </c>
      <c r="AB219" s="3">
        <v>42367</v>
      </c>
      <c r="AC219" s="2">
        <v>10</v>
      </c>
      <c r="AD219" s="2" t="s">
        <v>39</v>
      </c>
      <c r="AE219" s="2">
        <v>2.67</v>
      </c>
      <c r="AF219" s="4">
        <v>654400</v>
      </c>
      <c r="AG219" s="8">
        <v>6701.06</v>
      </c>
      <c r="AH219" s="8">
        <f t="shared" si="12"/>
        <v>7204.3096059999998</v>
      </c>
      <c r="AI219" s="8">
        <f t="shared" si="13"/>
        <v>503.2496059999994</v>
      </c>
      <c r="AJ219" s="8">
        <f t="shared" si="14"/>
        <v>7063.5873460000003</v>
      </c>
      <c r="AK219" s="8">
        <f t="shared" si="15"/>
        <v>362.52734599999985</v>
      </c>
    </row>
    <row r="220" spans="1:37" x14ac:dyDescent="0.3">
      <c r="A220" s="1">
        <v>234</v>
      </c>
      <c r="B220" s="2" t="s">
        <v>1541</v>
      </c>
      <c r="C220" s="2" t="s">
        <v>100</v>
      </c>
      <c r="D220" s="2" t="s">
        <v>101</v>
      </c>
      <c r="E220" s="1">
        <v>1</v>
      </c>
      <c r="F220" s="2" t="s">
        <v>1542</v>
      </c>
      <c r="G220" s="2" t="s">
        <v>1513</v>
      </c>
      <c r="H220" s="2" t="s">
        <v>31</v>
      </c>
      <c r="I220" s="2" t="s">
        <v>32</v>
      </c>
      <c r="J220" s="2" t="s">
        <v>1543</v>
      </c>
      <c r="K220" s="10" t="s">
        <v>2835</v>
      </c>
      <c r="L220" s="2" t="s">
        <v>1544</v>
      </c>
      <c r="M220" s="2" t="s">
        <v>1545</v>
      </c>
      <c r="N220" s="2" t="s">
        <v>31</v>
      </c>
      <c r="O220" s="2" t="s">
        <v>31</v>
      </c>
      <c r="P220" s="2" t="s">
        <v>1546</v>
      </c>
      <c r="Q220" s="2" t="s">
        <v>59</v>
      </c>
      <c r="R220" s="2" t="s">
        <v>48</v>
      </c>
      <c r="S220" s="2" t="s">
        <v>31</v>
      </c>
      <c r="T220" s="2" t="s">
        <v>60</v>
      </c>
      <c r="U220" s="2">
        <v>0</v>
      </c>
      <c r="V220" s="10">
        <v>1905</v>
      </c>
      <c r="W220" s="10">
        <v>610</v>
      </c>
      <c r="X220" s="11">
        <v>0</v>
      </c>
      <c r="Y220" s="11">
        <v>1</v>
      </c>
      <c r="Z220" s="2" t="s">
        <v>31</v>
      </c>
      <c r="AA220" s="2" t="s">
        <v>1547</v>
      </c>
      <c r="AB220" s="3">
        <v>43600</v>
      </c>
      <c r="AC220" s="2">
        <v>560000</v>
      </c>
      <c r="AD220" s="2" t="s">
        <v>107</v>
      </c>
      <c r="AE220" s="2">
        <v>1.47</v>
      </c>
      <c r="AF220" s="4">
        <v>563800</v>
      </c>
      <c r="AG220" s="8">
        <v>2138.38</v>
      </c>
      <c r="AH220" s="8">
        <f t="shared" si="12"/>
        <v>2298.972338</v>
      </c>
      <c r="AI220" s="8">
        <f t="shared" si="13"/>
        <v>160.59233799999993</v>
      </c>
      <c r="AJ220" s="8">
        <f t="shared" si="14"/>
        <v>2254.066358</v>
      </c>
      <c r="AK220" s="8">
        <f t="shared" si="15"/>
        <v>115.68635799999993</v>
      </c>
    </row>
    <row r="221" spans="1:37" x14ac:dyDescent="0.3">
      <c r="A221" s="1">
        <v>235</v>
      </c>
      <c r="B221" s="2" t="s">
        <v>1548</v>
      </c>
      <c r="C221" s="2" t="s">
        <v>100</v>
      </c>
      <c r="D221" s="2" t="s">
        <v>101</v>
      </c>
      <c r="E221" s="1">
        <v>1</v>
      </c>
      <c r="F221" s="2" t="s">
        <v>1549</v>
      </c>
      <c r="G221" s="2" t="s">
        <v>1513</v>
      </c>
      <c r="H221" s="2" t="s">
        <v>31</v>
      </c>
      <c r="I221" s="2" t="s">
        <v>32</v>
      </c>
      <c r="J221" s="2" t="s">
        <v>1550</v>
      </c>
      <c r="K221" s="10" t="s">
        <v>2835</v>
      </c>
      <c r="L221" s="2" t="s">
        <v>1551</v>
      </c>
      <c r="M221" s="2" t="s">
        <v>1552</v>
      </c>
      <c r="N221" s="2" t="s">
        <v>31</v>
      </c>
      <c r="O221" s="2" t="s">
        <v>31</v>
      </c>
      <c r="P221" s="2" t="s">
        <v>1553</v>
      </c>
      <c r="Q221" s="2" t="s">
        <v>1554</v>
      </c>
      <c r="R221" s="2" t="s">
        <v>48</v>
      </c>
      <c r="S221" s="2" t="s">
        <v>31</v>
      </c>
      <c r="T221" s="2" t="s">
        <v>1555</v>
      </c>
      <c r="U221" s="2">
        <v>0</v>
      </c>
      <c r="V221" s="10">
        <v>1905</v>
      </c>
      <c r="W221" s="10">
        <v>600</v>
      </c>
      <c r="X221" s="11">
        <v>0</v>
      </c>
      <c r="Y221" s="11">
        <v>1</v>
      </c>
      <c r="Z221" s="2" t="s">
        <v>31</v>
      </c>
      <c r="AA221" s="2" t="s">
        <v>1556</v>
      </c>
      <c r="AB221" s="3">
        <v>44700</v>
      </c>
      <c r="AC221" s="2">
        <v>1</v>
      </c>
      <c r="AD221" s="2" t="s">
        <v>39</v>
      </c>
      <c r="AE221" s="2">
        <v>1.56</v>
      </c>
      <c r="AF221" s="4">
        <v>542100</v>
      </c>
      <c r="AG221" s="8">
        <v>5551.1</v>
      </c>
      <c r="AH221" s="8">
        <f t="shared" si="12"/>
        <v>5967.9876100000001</v>
      </c>
      <c r="AI221" s="8">
        <f t="shared" si="13"/>
        <v>416.88760999999977</v>
      </c>
      <c r="AJ221" s="8">
        <f t="shared" si="14"/>
        <v>5851.4145100000005</v>
      </c>
      <c r="AK221" s="8">
        <f t="shared" si="15"/>
        <v>300.31451000000015</v>
      </c>
    </row>
    <row r="222" spans="1:37" x14ac:dyDescent="0.3">
      <c r="A222" s="1">
        <v>236</v>
      </c>
      <c r="B222" s="2" t="s">
        <v>1557</v>
      </c>
      <c r="C222" s="2" t="s">
        <v>100</v>
      </c>
      <c r="D222" s="2" t="s">
        <v>101</v>
      </c>
      <c r="E222" s="1">
        <v>1</v>
      </c>
      <c r="F222" s="2" t="s">
        <v>1558</v>
      </c>
      <c r="G222" s="2" t="s">
        <v>1513</v>
      </c>
      <c r="H222" s="2" t="s">
        <v>31</v>
      </c>
      <c r="I222" s="2" t="s">
        <v>32</v>
      </c>
      <c r="J222" s="2" t="s">
        <v>1559</v>
      </c>
      <c r="K222" s="10" t="s">
        <v>2835</v>
      </c>
      <c r="L222" s="2" t="s">
        <v>1560</v>
      </c>
      <c r="M222" s="2" t="s">
        <v>1561</v>
      </c>
      <c r="N222" s="2" t="s">
        <v>31</v>
      </c>
      <c r="O222" s="2" t="s">
        <v>31</v>
      </c>
      <c r="P222" s="2" t="s">
        <v>1562</v>
      </c>
      <c r="Q222" s="2" t="s">
        <v>1563</v>
      </c>
      <c r="R222" s="2" t="s">
        <v>48</v>
      </c>
      <c r="S222" s="2" t="s">
        <v>31</v>
      </c>
      <c r="T222" s="2" t="s">
        <v>1564</v>
      </c>
      <c r="U222" s="2">
        <v>0</v>
      </c>
      <c r="V222" s="10">
        <v>1905</v>
      </c>
      <c r="W222" s="10">
        <v>950</v>
      </c>
      <c r="X222" s="11">
        <v>0</v>
      </c>
      <c r="Y222" s="11">
        <v>1</v>
      </c>
      <c r="Z222" s="2" t="s">
        <v>31</v>
      </c>
      <c r="AA222" s="2" t="s">
        <v>1565</v>
      </c>
      <c r="AB222" s="3">
        <v>41165</v>
      </c>
      <c r="AC222" s="2">
        <v>539000</v>
      </c>
      <c r="AD222" s="2" t="s">
        <v>39</v>
      </c>
      <c r="AE222" s="2">
        <v>2.0499999999999998</v>
      </c>
      <c r="AF222" s="4">
        <v>799300</v>
      </c>
      <c r="AG222" s="8">
        <v>8184.83</v>
      </c>
      <c r="AH222" s="8">
        <f t="shared" si="12"/>
        <v>8799.5107329999992</v>
      </c>
      <c r="AI222" s="8">
        <f t="shared" si="13"/>
        <v>614.68073299999924</v>
      </c>
      <c r="AJ222" s="8">
        <f t="shared" si="14"/>
        <v>8627.6293029999997</v>
      </c>
      <c r="AK222" s="8">
        <f t="shared" si="15"/>
        <v>442.79930299999978</v>
      </c>
    </row>
    <row r="223" spans="1:37" x14ac:dyDescent="0.3">
      <c r="A223" s="1">
        <v>237</v>
      </c>
      <c r="B223" s="2" t="s">
        <v>1566</v>
      </c>
      <c r="C223" s="2" t="s">
        <v>100</v>
      </c>
      <c r="D223" s="2" t="s">
        <v>101</v>
      </c>
      <c r="E223" s="1">
        <v>1</v>
      </c>
      <c r="F223" s="2" t="s">
        <v>1567</v>
      </c>
      <c r="G223" s="2" t="s">
        <v>1513</v>
      </c>
      <c r="H223" s="2" t="s">
        <v>31</v>
      </c>
      <c r="I223" s="2" t="s">
        <v>32</v>
      </c>
      <c r="J223" s="2" t="s">
        <v>752</v>
      </c>
      <c r="K223" s="10" t="s">
        <v>2835</v>
      </c>
      <c r="L223" s="2" t="s">
        <v>143</v>
      </c>
      <c r="M223" s="2" t="s">
        <v>1568</v>
      </c>
      <c r="N223" s="2" t="s">
        <v>31</v>
      </c>
      <c r="O223" s="2" t="s">
        <v>31</v>
      </c>
      <c r="P223" s="2" t="s">
        <v>1569</v>
      </c>
      <c r="Q223" s="2" t="s">
        <v>59</v>
      </c>
      <c r="R223" s="2" t="s">
        <v>48</v>
      </c>
      <c r="S223" s="2" t="s">
        <v>31</v>
      </c>
      <c r="T223" s="2" t="s">
        <v>1570</v>
      </c>
      <c r="U223" s="2">
        <v>0</v>
      </c>
      <c r="V223" s="10">
        <v>1905</v>
      </c>
      <c r="W223" s="10">
        <v>875</v>
      </c>
      <c r="X223" s="11">
        <v>0</v>
      </c>
      <c r="Y223" s="11">
        <v>1</v>
      </c>
      <c r="Z223" s="2" t="s">
        <v>31</v>
      </c>
      <c r="AA223" s="2" t="s">
        <v>1571</v>
      </c>
      <c r="AB223" s="3">
        <v>41726</v>
      </c>
      <c r="AC223" s="2">
        <v>545000</v>
      </c>
      <c r="AD223" s="2" t="s">
        <v>107</v>
      </c>
      <c r="AE223" s="2">
        <v>2.79</v>
      </c>
      <c r="AF223" s="4">
        <v>710400</v>
      </c>
      <c r="AG223" s="8">
        <v>3639.56</v>
      </c>
      <c r="AH223" s="8">
        <f t="shared" si="12"/>
        <v>3912.8909559999997</v>
      </c>
      <c r="AI223" s="8">
        <f t="shared" si="13"/>
        <v>273.33095599999979</v>
      </c>
      <c r="AJ223" s="8">
        <f t="shared" si="14"/>
        <v>3836.460196</v>
      </c>
      <c r="AK223" s="8">
        <f t="shared" si="15"/>
        <v>196.90019600000005</v>
      </c>
    </row>
    <row r="224" spans="1:37" x14ac:dyDescent="0.3">
      <c r="A224" s="1">
        <v>238</v>
      </c>
      <c r="B224" s="2" t="s">
        <v>1572</v>
      </c>
      <c r="C224" s="2" t="s">
        <v>100</v>
      </c>
      <c r="D224" s="2" t="s">
        <v>101</v>
      </c>
      <c r="E224" s="1">
        <v>1</v>
      </c>
      <c r="F224" s="2" t="s">
        <v>1573</v>
      </c>
      <c r="G224" s="2" t="s">
        <v>1513</v>
      </c>
      <c r="H224" s="2" t="s">
        <v>31</v>
      </c>
      <c r="I224" s="2" t="s">
        <v>32</v>
      </c>
      <c r="J224" s="2" t="s">
        <v>813</v>
      </c>
      <c r="K224" s="10" t="s">
        <v>2835</v>
      </c>
      <c r="L224" s="2" t="s">
        <v>1574</v>
      </c>
      <c r="M224" s="2" t="s">
        <v>1394</v>
      </c>
      <c r="N224" s="2" t="s">
        <v>31</v>
      </c>
      <c r="O224" s="2" t="s">
        <v>31</v>
      </c>
      <c r="P224" s="2" t="s">
        <v>1575</v>
      </c>
      <c r="Q224" s="2" t="s">
        <v>59</v>
      </c>
      <c r="R224" s="2" t="s">
        <v>48</v>
      </c>
      <c r="S224" s="2" t="s">
        <v>31</v>
      </c>
      <c r="T224" s="2" t="s">
        <v>60</v>
      </c>
      <c r="U224" s="2">
        <v>0</v>
      </c>
      <c r="V224" s="10">
        <v>1905</v>
      </c>
      <c r="W224" s="10">
        <v>650</v>
      </c>
      <c r="X224" s="11">
        <v>0</v>
      </c>
      <c r="Y224" s="11">
        <v>1</v>
      </c>
      <c r="Z224" s="2" t="s">
        <v>31</v>
      </c>
      <c r="AA224" s="2" t="s">
        <v>1576</v>
      </c>
      <c r="AB224" s="3">
        <v>45748</v>
      </c>
      <c r="AC224" s="2">
        <v>650000</v>
      </c>
      <c r="AD224" s="2" t="s">
        <v>107</v>
      </c>
      <c r="AE224" s="2">
        <v>1.56</v>
      </c>
      <c r="AF224" s="4">
        <v>588000</v>
      </c>
      <c r="AG224" s="8">
        <v>2386.19</v>
      </c>
      <c r="AH224" s="8">
        <f t="shared" si="12"/>
        <v>2565.3928689999998</v>
      </c>
      <c r="AI224" s="8">
        <f t="shared" si="13"/>
        <v>179.20286899999974</v>
      </c>
      <c r="AJ224" s="8">
        <f t="shared" si="14"/>
        <v>2515.2828790000003</v>
      </c>
      <c r="AK224" s="8">
        <f t="shared" si="15"/>
        <v>129.09287900000027</v>
      </c>
    </row>
    <row r="225" spans="1:37" x14ac:dyDescent="0.3">
      <c r="A225" s="1">
        <v>239</v>
      </c>
      <c r="B225" s="2" t="s">
        <v>1577</v>
      </c>
      <c r="C225" s="2" t="s">
        <v>100</v>
      </c>
      <c r="D225" s="2" t="s">
        <v>101</v>
      </c>
      <c r="E225" s="1">
        <v>1</v>
      </c>
      <c r="F225" s="2" t="s">
        <v>1578</v>
      </c>
      <c r="G225" s="2" t="s">
        <v>1513</v>
      </c>
      <c r="H225" s="2" t="s">
        <v>31</v>
      </c>
      <c r="I225" s="2" t="s">
        <v>32</v>
      </c>
      <c r="J225" s="2" t="s">
        <v>1579</v>
      </c>
      <c r="K225" s="10" t="s">
        <v>2835</v>
      </c>
      <c r="L225" s="2" t="s">
        <v>1580</v>
      </c>
      <c r="M225" s="2" t="s">
        <v>1581</v>
      </c>
      <c r="N225" s="2" t="s">
        <v>1582</v>
      </c>
      <c r="O225" s="2" t="s">
        <v>1583</v>
      </c>
      <c r="P225" s="2" t="s">
        <v>1584</v>
      </c>
      <c r="Q225" s="2" t="s">
        <v>1585</v>
      </c>
      <c r="R225" s="2" t="s">
        <v>48</v>
      </c>
      <c r="S225" s="2" t="s">
        <v>31</v>
      </c>
      <c r="T225" s="2" t="s">
        <v>979</v>
      </c>
      <c r="U225" s="2">
        <v>0</v>
      </c>
      <c r="V225" s="10">
        <v>1905</v>
      </c>
      <c r="W225" s="10">
        <v>600</v>
      </c>
      <c r="X225" s="11">
        <v>0</v>
      </c>
      <c r="Y225" s="11">
        <v>1</v>
      </c>
      <c r="Z225" s="2" t="s">
        <v>31</v>
      </c>
      <c r="AA225" s="2" t="s">
        <v>1586</v>
      </c>
      <c r="AB225" s="3">
        <v>43585</v>
      </c>
      <c r="AC225" s="2">
        <v>1</v>
      </c>
      <c r="AD225" s="2" t="s">
        <v>39</v>
      </c>
      <c r="AE225" s="2">
        <v>1.47</v>
      </c>
      <c r="AF225" s="4">
        <v>571200</v>
      </c>
      <c r="AG225" s="8">
        <v>5849.09</v>
      </c>
      <c r="AH225" s="8">
        <f t="shared" si="12"/>
        <v>6288.356659</v>
      </c>
      <c r="AI225" s="8">
        <f t="shared" si="13"/>
        <v>439.26665899999989</v>
      </c>
      <c r="AJ225" s="8">
        <f t="shared" si="14"/>
        <v>6165.5257690000008</v>
      </c>
      <c r="AK225" s="8">
        <f t="shared" si="15"/>
        <v>316.43576900000062</v>
      </c>
    </row>
    <row r="226" spans="1:37" x14ac:dyDescent="0.3">
      <c r="A226" s="1">
        <v>240</v>
      </c>
      <c r="B226" s="2" t="s">
        <v>1587</v>
      </c>
      <c r="C226" s="2" t="s">
        <v>100</v>
      </c>
      <c r="D226" s="2" t="s">
        <v>101</v>
      </c>
      <c r="E226" s="1">
        <v>1</v>
      </c>
      <c r="F226" s="2" t="s">
        <v>1588</v>
      </c>
      <c r="G226" s="2" t="s">
        <v>1513</v>
      </c>
      <c r="H226" s="2" t="s">
        <v>31</v>
      </c>
      <c r="I226" s="2" t="s">
        <v>32</v>
      </c>
      <c r="J226" s="2" t="s">
        <v>1450</v>
      </c>
      <c r="K226" s="10" t="s">
        <v>2835</v>
      </c>
      <c r="L226" s="2" t="s">
        <v>1589</v>
      </c>
      <c r="M226" s="2" t="s">
        <v>863</v>
      </c>
      <c r="N226" s="2" t="s">
        <v>31</v>
      </c>
      <c r="O226" s="2" t="s">
        <v>31</v>
      </c>
      <c r="P226" s="2" t="s">
        <v>1590</v>
      </c>
      <c r="Q226" s="2" t="s">
        <v>1591</v>
      </c>
      <c r="R226" s="2" t="s">
        <v>48</v>
      </c>
      <c r="S226" s="2" t="s">
        <v>31</v>
      </c>
      <c r="T226" s="2" t="s">
        <v>1592</v>
      </c>
      <c r="U226" s="2">
        <v>0</v>
      </c>
      <c r="V226" s="10">
        <v>1905</v>
      </c>
      <c r="W226" s="10">
        <v>930</v>
      </c>
      <c r="X226" s="11">
        <v>0</v>
      </c>
      <c r="Y226" s="11">
        <v>1</v>
      </c>
      <c r="Z226" s="2" t="s">
        <v>31</v>
      </c>
      <c r="AA226" s="2" t="s">
        <v>1593</v>
      </c>
      <c r="AB226" s="3">
        <v>45728</v>
      </c>
      <c r="AC226" s="2">
        <v>1</v>
      </c>
      <c r="AD226" s="2" t="s">
        <v>39</v>
      </c>
      <c r="AE226" s="2">
        <v>2.57</v>
      </c>
      <c r="AF226" s="4">
        <v>783000</v>
      </c>
      <c r="AG226" s="8">
        <v>8017.92</v>
      </c>
      <c r="AH226" s="8">
        <f t="shared" si="12"/>
        <v>8620.0657919999994</v>
      </c>
      <c r="AI226" s="8">
        <f t="shared" si="13"/>
        <v>602.14579199999935</v>
      </c>
      <c r="AJ226" s="8">
        <f t="shared" si="14"/>
        <v>8451.689472</v>
      </c>
      <c r="AK226" s="8">
        <f t="shared" si="15"/>
        <v>433.76947199999995</v>
      </c>
    </row>
    <row r="227" spans="1:37" x14ac:dyDescent="0.3">
      <c r="A227" s="1">
        <v>241</v>
      </c>
      <c r="B227" s="2" t="s">
        <v>1594</v>
      </c>
      <c r="C227" s="2" t="s">
        <v>100</v>
      </c>
      <c r="D227" s="2" t="s">
        <v>101</v>
      </c>
      <c r="E227" s="1">
        <v>1</v>
      </c>
      <c r="F227" s="2" t="s">
        <v>1595</v>
      </c>
      <c r="G227" s="2" t="s">
        <v>1513</v>
      </c>
      <c r="H227" s="2" t="s">
        <v>31</v>
      </c>
      <c r="I227" s="2" t="s">
        <v>32</v>
      </c>
      <c r="J227" s="2" t="s">
        <v>900</v>
      </c>
      <c r="K227" s="10" t="s">
        <v>2835</v>
      </c>
      <c r="L227" s="2" t="s">
        <v>1596</v>
      </c>
      <c r="M227" s="2" t="s">
        <v>1597</v>
      </c>
      <c r="N227" s="2" t="s">
        <v>31</v>
      </c>
      <c r="O227" s="2" t="s">
        <v>31</v>
      </c>
      <c r="P227" s="2" t="s">
        <v>1598</v>
      </c>
      <c r="Q227" s="2" t="s">
        <v>59</v>
      </c>
      <c r="R227" s="2" t="s">
        <v>48</v>
      </c>
      <c r="S227" s="2" t="s">
        <v>31</v>
      </c>
      <c r="T227" s="2" t="s">
        <v>60</v>
      </c>
      <c r="U227" s="2">
        <v>0</v>
      </c>
      <c r="V227" s="10">
        <v>1905</v>
      </c>
      <c r="W227" s="10">
        <v>900</v>
      </c>
      <c r="X227" s="11">
        <v>0</v>
      </c>
      <c r="Y227" s="11">
        <v>1</v>
      </c>
      <c r="Z227" s="2" t="s">
        <v>31</v>
      </c>
      <c r="AA227" s="2" t="s">
        <v>1599</v>
      </c>
      <c r="AB227" s="3">
        <v>44567</v>
      </c>
      <c r="AC227" s="2">
        <v>730000</v>
      </c>
      <c r="AD227" s="2" t="s">
        <v>107</v>
      </c>
      <c r="AE227" s="2">
        <v>2.67</v>
      </c>
      <c r="AF227" s="4">
        <v>751700</v>
      </c>
      <c r="AG227" s="8">
        <v>4062.47</v>
      </c>
      <c r="AH227" s="8">
        <f t="shared" si="12"/>
        <v>4367.5614969999997</v>
      </c>
      <c r="AI227" s="8">
        <f t="shared" si="13"/>
        <v>305.09149699999989</v>
      </c>
      <c r="AJ227" s="8">
        <f t="shared" si="14"/>
        <v>4282.2496270000001</v>
      </c>
      <c r="AK227" s="8">
        <f t="shared" si="15"/>
        <v>219.77962700000035</v>
      </c>
    </row>
    <row r="228" spans="1:37" x14ac:dyDescent="0.3">
      <c r="A228" s="1">
        <v>242</v>
      </c>
      <c r="B228" s="2" t="s">
        <v>1600</v>
      </c>
      <c r="C228" s="2" t="s">
        <v>100</v>
      </c>
      <c r="D228" s="2" t="s">
        <v>101</v>
      </c>
      <c r="E228" s="1">
        <v>1</v>
      </c>
      <c r="F228" s="2" t="s">
        <v>1601</v>
      </c>
      <c r="G228" s="2" t="s">
        <v>1513</v>
      </c>
      <c r="H228" s="2" t="s">
        <v>31</v>
      </c>
      <c r="I228" s="2" t="s">
        <v>32</v>
      </c>
      <c r="J228" s="2" t="s">
        <v>498</v>
      </c>
      <c r="K228" s="10" t="s">
        <v>2835</v>
      </c>
      <c r="L228" s="2" t="s">
        <v>1602</v>
      </c>
      <c r="M228" s="2" t="s">
        <v>1603</v>
      </c>
      <c r="N228" s="2" t="s">
        <v>31</v>
      </c>
      <c r="O228" s="2" t="s">
        <v>31</v>
      </c>
      <c r="P228" s="2" t="s">
        <v>1604</v>
      </c>
      <c r="Q228" s="2" t="s">
        <v>59</v>
      </c>
      <c r="R228" s="2" t="s">
        <v>48</v>
      </c>
      <c r="S228" s="2" t="s">
        <v>31</v>
      </c>
      <c r="T228" s="2" t="s">
        <v>60</v>
      </c>
      <c r="U228" s="2">
        <v>0</v>
      </c>
      <c r="V228" s="10">
        <v>1905</v>
      </c>
      <c r="W228" s="10">
        <v>650</v>
      </c>
      <c r="X228" s="11">
        <v>0</v>
      </c>
      <c r="Y228" s="11">
        <v>1</v>
      </c>
      <c r="Z228" s="2" t="s">
        <v>31</v>
      </c>
      <c r="AA228" s="2" t="s">
        <v>1605</v>
      </c>
      <c r="AB228" s="3">
        <v>34900</v>
      </c>
      <c r="AC228" s="2">
        <v>74500</v>
      </c>
      <c r="AD228" s="2" t="s">
        <v>107</v>
      </c>
      <c r="AE228" s="2">
        <v>1.56</v>
      </c>
      <c r="AF228" s="4">
        <v>515300</v>
      </c>
      <c r="AG228" s="8">
        <v>1641.74</v>
      </c>
      <c r="AH228" s="8">
        <f t="shared" si="12"/>
        <v>1765.034674</v>
      </c>
      <c r="AI228" s="8">
        <f t="shared" si="13"/>
        <v>123.29467399999999</v>
      </c>
      <c r="AJ228" s="8">
        <f t="shared" si="14"/>
        <v>1730.5581340000001</v>
      </c>
      <c r="AK228" s="8">
        <f t="shared" si="15"/>
        <v>88.8181340000001</v>
      </c>
    </row>
    <row r="229" spans="1:37" x14ac:dyDescent="0.3">
      <c r="A229" s="1">
        <v>243</v>
      </c>
      <c r="B229" s="2" t="s">
        <v>1606</v>
      </c>
      <c r="C229" s="2" t="s">
        <v>100</v>
      </c>
      <c r="D229" s="2" t="s">
        <v>101</v>
      </c>
      <c r="E229" s="1">
        <v>1</v>
      </c>
      <c r="F229" s="2" t="s">
        <v>1607</v>
      </c>
      <c r="G229" s="2" t="s">
        <v>1513</v>
      </c>
      <c r="H229" s="2" t="s">
        <v>31</v>
      </c>
      <c r="I229" s="2" t="s">
        <v>32</v>
      </c>
      <c r="J229" s="2" t="s">
        <v>507</v>
      </c>
      <c r="K229" s="10" t="s">
        <v>2835</v>
      </c>
      <c r="L229" s="2" t="s">
        <v>1364</v>
      </c>
      <c r="M229" s="2" t="s">
        <v>1608</v>
      </c>
      <c r="N229" s="2" t="s">
        <v>31</v>
      </c>
      <c r="O229" s="2" t="s">
        <v>31</v>
      </c>
      <c r="P229" s="2" t="s">
        <v>1609</v>
      </c>
      <c r="Q229" s="2" t="s">
        <v>59</v>
      </c>
      <c r="R229" s="2" t="s">
        <v>48</v>
      </c>
      <c r="S229" s="2" t="s">
        <v>31</v>
      </c>
      <c r="T229" s="2" t="s">
        <v>60</v>
      </c>
      <c r="U229" s="2">
        <v>0</v>
      </c>
      <c r="V229" s="10">
        <v>1905</v>
      </c>
      <c r="W229" s="10">
        <v>600</v>
      </c>
      <c r="X229" s="11">
        <v>0</v>
      </c>
      <c r="Y229" s="11">
        <v>1</v>
      </c>
      <c r="Z229" s="2" t="s">
        <v>31</v>
      </c>
      <c r="AA229" s="2" t="s">
        <v>1610</v>
      </c>
      <c r="AB229" s="3">
        <v>44411</v>
      </c>
      <c r="AC229" s="2">
        <v>523500</v>
      </c>
      <c r="AD229" s="2" t="s">
        <v>107</v>
      </c>
      <c r="AE229" s="2">
        <v>1.56</v>
      </c>
      <c r="AF229" s="4">
        <v>480200</v>
      </c>
      <c r="AG229" s="8">
        <v>1282.31</v>
      </c>
      <c r="AH229" s="8">
        <f t="shared" si="12"/>
        <v>1378.6114809999999</v>
      </c>
      <c r="AI229" s="8">
        <f t="shared" si="13"/>
        <v>96.301480999999967</v>
      </c>
      <c r="AJ229" s="8">
        <f t="shared" si="14"/>
        <v>1351.682971</v>
      </c>
      <c r="AK229" s="8">
        <f t="shared" si="15"/>
        <v>69.372971000000007</v>
      </c>
    </row>
    <row r="230" spans="1:37" x14ac:dyDescent="0.3">
      <c r="A230" s="1">
        <v>244</v>
      </c>
      <c r="B230" s="2" t="s">
        <v>1611</v>
      </c>
      <c r="C230" s="2" t="s">
        <v>100</v>
      </c>
      <c r="D230" s="2" t="s">
        <v>101</v>
      </c>
      <c r="E230" s="1">
        <v>1</v>
      </c>
      <c r="F230" s="2" t="s">
        <v>1612</v>
      </c>
      <c r="G230" s="2" t="s">
        <v>1513</v>
      </c>
      <c r="H230" s="2" t="s">
        <v>31</v>
      </c>
      <c r="I230" s="2" t="s">
        <v>32</v>
      </c>
      <c r="J230" s="2" t="s">
        <v>1613</v>
      </c>
      <c r="K230" s="10" t="s">
        <v>2835</v>
      </c>
      <c r="L230" s="2" t="s">
        <v>1614</v>
      </c>
      <c r="M230" s="2" t="s">
        <v>1615</v>
      </c>
      <c r="N230" s="2" t="s">
        <v>1616</v>
      </c>
      <c r="O230" s="2" t="s">
        <v>1617</v>
      </c>
      <c r="P230" s="2" t="s">
        <v>1618</v>
      </c>
      <c r="Q230" s="2" t="s">
        <v>59</v>
      </c>
      <c r="R230" s="2" t="s">
        <v>48</v>
      </c>
      <c r="S230" s="2" t="s">
        <v>31</v>
      </c>
      <c r="T230" s="2" t="s">
        <v>60</v>
      </c>
      <c r="U230" s="2">
        <v>0</v>
      </c>
      <c r="V230" s="10">
        <v>1905</v>
      </c>
      <c r="W230" s="10">
        <v>925</v>
      </c>
      <c r="X230" s="11">
        <v>0</v>
      </c>
      <c r="Y230" s="11">
        <v>1</v>
      </c>
      <c r="Z230" s="2" t="s">
        <v>31</v>
      </c>
      <c r="AA230" s="2" t="s">
        <v>1619</v>
      </c>
      <c r="AB230" s="3">
        <v>42670</v>
      </c>
      <c r="AC230" s="2">
        <v>728000</v>
      </c>
      <c r="AD230" s="2" t="s">
        <v>107</v>
      </c>
      <c r="AE230" s="2">
        <v>2.67</v>
      </c>
      <c r="AF230" s="4">
        <v>734800</v>
      </c>
      <c r="AG230" s="8">
        <v>3889.42</v>
      </c>
      <c r="AH230" s="8">
        <f t="shared" si="12"/>
        <v>4181.5154419999999</v>
      </c>
      <c r="AI230" s="8">
        <f t="shared" si="13"/>
        <v>292.09544199999982</v>
      </c>
      <c r="AJ230" s="8">
        <f t="shared" si="14"/>
        <v>4099.837622</v>
      </c>
      <c r="AK230" s="8">
        <f t="shared" si="15"/>
        <v>210.41762199999994</v>
      </c>
    </row>
    <row r="231" spans="1:37" x14ac:dyDescent="0.3">
      <c r="A231" s="1">
        <v>245</v>
      </c>
      <c r="B231" s="2" t="s">
        <v>1620</v>
      </c>
      <c r="C231" s="2" t="s">
        <v>100</v>
      </c>
      <c r="D231" s="2" t="s">
        <v>101</v>
      </c>
      <c r="E231" s="1">
        <v>1</v>
      </c>
      <c r="F231" s="2" t="s">
        <v>1621</v>
      </c>
      <c r="G231" s="2" t="s">
        <v>1513</v>
      </c>
      <c r="H231" s="2" t="s">
        <v>31</v>
      </c>
      <c r="I231" s="2" t="s">
        <v>32</v>
      </c>
      <c r="J231" s="2" t="s">
        <v>1622</v>
      </c>
      <c r="K231" s="10" t="s">
        <v>2835</v>
      </c>
      <c r="L231" s="2" t="s">
        <v>1623</v>
      </c>
      <c r="M231" s="2" t="s">
        <v>1624</v>
      </c>
      <c r="N231" s="2" t="s">
        <v>31</v>
      </c>
      <c r="O231" s="2" t="s">
        <v>31</v>
      </c>
      <c r="P231" s="2" t="s">
        <v>1625</v>
      </c>
      <c r="Q231" s="2" t="s">
        <v>1626</v>
      </c>
      <c r="R231" s="2" t="s">
        <v>48</v>
      </c>
      <c r="S231" s="2" t="s">
        <v>31</v>
      </c>
      <c r="T231" s="2" t="s">
        <v>1627</v>
      </c>
      <c r="U231" s="2">
        <v>0</v>
      </c>
      <c r="V231" s="10">
        <v>1905</v>
      </c>
      <c r="W231" s="10">
        <v>930</v>
      </c>
      <c r="X231" s="11">
        <v>0</v>
      </c>
      <c r="Y231" s="11">
        <v>1</v>
      </c>
      <c r="Z231" s="2" t="s">
        <v>31</v>
      </c>
      <c r="AA231" s="2" t="s">
        <v>1628</v>
      </c>
      <c r="AB231" s="3">
        <v>45425</v>
      </c>
      <c r="AC231" s="2">
        <v>1</v>
      </c>
      <c r="AD231" s="2" t="s">
        <v>39</v>
      </c>
      <c r="AE231" s="2">
        <v>2.67</v>
      </c>
      <c r="AF231" s="4">
        <v>760400</v>
      </c>
      <c r="AG231" s="8">
        <v>7786.5</v>
      </c>
      <c r="AH231" s="8">
        <f t="shared" si="12"/>
        <v>8371.2661499999995</v>
      </c>
      <c r="AI231" s="8">
        <f t="shared" si="13"/>
        <v>584.76614999999947</v>
      </c>
      <c r="AJ231" s="8">
        <f t="shared" si="14"/>
        <v>8207.7496499999997</v>
      </c>
      <c r="AK231" s="8">
        <f t="shared" si="15"/>
        <v>421.24964999999975</v>
      </c>
    </row>
    <row r="232" spans="1:37" x14ac:dyDescent="0.3">
      <c r="A232" s="1">
        <v>246</v>
      </c>
      <c r="B232" s="2" t="s">
        <v>1629</v>
      </c>
      <c r="C232" s="2" t="s">
        <v>100</v>
      </c>
      <c r="D232" s="2" t="s">
        <v>101</v>
      </c>
      <c r="E232" s="1">
        <v>1</v>
      </c>
      <c r="F232" s="2" t="s">
        <v>1630</v>
      </c>
      <c r="G232" s="2" t="s">
        <v>1513</v>
      </c>
      <c r="H232" s="2" t="s">
        <v>31</v>
      </c>
      <c r="I232" s="2" t="s">
        <v>32</v>
      </c>
      <c r="J232" s="2" t="s">
        <v>451</v>
      </c>
      <c r="K232" s="10" t="s">
        <v>2835</v>
      </c>
      <c r="L232" s="2" t="s">
        <v>1631</v>
      </c>
      <c r="M232" s="2" t="s">
        <v>1632</v>
      </c>
      <c r="N232" s="2" t="s">
        <v>31</v>
      </c>
      <c r="O232" s="2" t="s">
        <v>31</v>
      </c>
      <c r="P232" s="2" t="s">
        <v>1633</v>
      </c>
      <c r="Q232" s="2" t="s">
        <v>59</v>
      </c>
      <c r="R232" s="2" t="s">
        <v>48</v>
      </c>
      <c r="S232" s="2" t="s">
        <v>31</v>
      </c>
      <c r="T232" s="2" t="s">
        <v>60</v>
      </c>
      <c r="U232" s="2">
        <v>0</v>
      </c>
      <c r="V232" s="10">
        <v>1905</v>
      </c>
      <c r="W232" s="10">
        <v>650</v>
      </c>
      <c r="X232" s="11">
        <v>0</v>
      </c>
      <c r="Y232" s="11">
        <v>1</v>
      </c>
      <c r="Z232" s="2" t="s">
        <v>31</v>
      </c>
      <c r="AA232" s="2" t="s">
        <v>1634</v>
      </c>
      <c r="AB232" s="3">
        <v>44859</v>
      </c>
      <c r="AC232" s="2">
        <v>555000</v>
      </c>
      <c r="AD232" s="2" t="s">
        <v>107</v>
      </c>
      <c r="AE232" s="2">
        <v>1.25</v>
      </c>
      <c r="AF232" s="4">
        <v>558900</v>
      </c>
      <c r="AG232" s="8">
        <v>2088.1999999999998</v>
      </c>
      <c r="AH232" s="8">
        <f t="shared" si="12"/>
        <v>2245.0238199999999</v>
      </c>
      <c r="AI232" s="8">
        <f t="shared" si="13"/>
        <v>156.82382000000007</v>
      </c>
      <c r="AJ232" s="8">
        <f t="shared" si="14"/>
        <v>2201.1716200000001</v>
      </c>
      <c r="AK232" s="8">
        <f t="shared" si="15"/>
        <v>112.97162000000026</v>
      </c>
    </row>
    <row r="233" spans="1:37" x14ac:dyDescent="0.3">
      <c r="A233" s="1">
        <v>247</v>
      </c>
      <c r="B233" s="2" t="s">
        <v>1635</v>
      </c>
      <c r="C233" s="2" t="s">
        <v>100</v>
      </c>
      <c r="D233" s="2" t="s">
        <v>101</v>
      </c>
      <c r="E233" s="1">
        <v>1</v>
      </c>
      <c r="F233" s="2" t="s">
        <v>1636</v>
      </c>
      <c r="G233" s="2" t="s">
        <v>1513</v>
      </c>
      <c r="H233" s="2" t="s">
        <v>31</v>
      </c>
      <c r="I233" s="2" t="s">
        <v>32</v>
      </c>
      <c r="J233" s="2" t="s">
        <v>1637</v>
      </c>
      <c r="K233" s="10" t="s">
        <v>2835</v>
      </c>
      <c r="L233" s="2" t="s">
        <v>1638</v>
      </c>
      <c r="M233" s="2" t="s">
        <v>1639</v>
      </c>
      <c r="N233" s="2" t="s">
        <v>31</v>
      </c>
      <c r="O233" s="2" t="s">
        <v>31</v>
      </c>
      <c r="P233" s="2" t="s">
        <v>1640</v>
      </c>
      <c r="Q233" s="2" t="s">
        <v>59</v>
      </c>
      <c r="R233" s="2" t="s">
        <v>48</v>
      </c>
      <c r="S233" s="2" t="s">
        <v>31</v>
      </c>
      <c r="T233" s="2" t="s">
        <v>60</v>
      </c>
      <c r="U233" s="2">
        <v>0</v>
      </c>
      <c r="V233" s="10">
        <v>1905</v>
      </c>
      <c r="W233" s="10">
        <v>600</v>
      </c>
      <c r="X233" s="11">
        <v>0</v>
      </c>
      <c r="Y233" s="11">
        <v>1</v>
      </c>
      <c r="Z233" s="2" t="s">
        <v>31</v>
      </c>
      <c r="AA233" s="2" t="s">
        <v>1641</v>
      </c>
      <c r="AB233" s="3">
        <v>44553</v>
      </c>
      <c r="AC233" s="2">
        <v>100</v>
      </c>
      <c r="AD233" s="2" t="s">
        <v>39</v>
      </c>
      <c r="AE233" s="2">
        <v>1.32</v>
      </c>
      <c r="AF233" s="4">
        <v>542100</v>
      </c>
      <c r="AG233" s="8">
        <v>5551.1</v>
      </c>
      <c r="AH233" s="8">
        <f t="shared" si="12"/>
        <v>5967.9876100000001</v>
      </c>
      <c r="AI233" s="8">
        <f t="shared" si="13"/>
        <v>416.88760999999977</v>
      </c>
      <c r="AJ233" s="8">
        <f t="shared" si="14"/>
        <v>5851.4145100000005</v>
      </c>
      <c r="AK233" s="8">
        <f t="shared" si="15"/>
        <v>300.31451000000015</v>
      </c>
    </row>
    <row r="234" spans="1:37" x14ac:dyDescent="0.3">
      <c r="A234" s="1">
        <v>248</v>
      </c>
      <c r="B234" s="2" t="s">
        <v>1642</v>
      </c>
      <c r="C234" s="2" t="s">
        <v>100</v>
      </c>
      <c r="D234" s="2" t="s">
        <v>101</v>
      </c>
      <c r="E234" s="1">
        <v>1</v>
      </c>
      <c r="F234" s="2" t="s">
        <v>1643</v>
      </c>
      <c r="G234" s="2" t="s">
        <v>1513</v>
      </c>
      <c r="H234" s="2" t="s">
        <v>31</v>
      </c>
      <c r="I234" s="2" t="s">
        <v>32</v>
      </c>
      <c r="J234" s="2" t="s">
        <v>110</v>
      </c>
      <c r="K234" s="10" t="s">
        <v>2835</v>
      </c>
      <c r="L234" s="2" t="s">
        <v>1644</v>
      </c>
      <c r="M234" s="2" t="s">
        <v>31</v>
      </c>
      <c r="N234" s="2" t="s">
        <v>1645</v>
      </c>
      <c r="O234" s="2" t="s">
        <v>31</v>
      </c>
      <c r="P234" s="2" t="s">
        <v>1646</v>
      </c>
      <c r="Q234" s="2" t="s">
        <v>59</v>
      </c>
      <c r="R234" s="2" t="s">
        <v>48</v>
      </c>
      <c r="S234" s="2" t="s">
        <v>31</v>
      </c>
      <c r="T234" s="2" t="s">
        <v>60</v>
      </c>
      <c r="U234" s="2">
        <v>0</v>
      </c>
      <c r="V234" s="10">
        <v>1905</v>
      </c>
      <c r="W234" s="10">
        <v>580</v>
      </c>
      <c r="X234" s="11">
        <v>0</v>
      </c>
      <c r="Y234" s="11">
        <v>1</v>
      </c>
      <c r="Z234" s="2" t="s">
        <v>31</v>
      </c>
      <c r="AA234" s="2" t="s">
        <v>1647</v>
      </c>
      <c r="AB234" s="3">
        <v>30470</v>
      </c>
      <c r="AC234" s="2">
        <v>1</v>
      </c>
      <c r="AD234" s="2" t="s">
        <v>39</v>
      </c>
      <c r="AE234" s="2">
        <v>0.43</v>
      </c>
      <c r="AF234" s="4">
        <v>378400</v>
      </c>
      <c r="AG234" s="8">
        <v>3874.82</v>
      </c>
      <c r="AH234" s="8">
        <f t="shared" si="12"/>
        <v>4165.8189819999998</v>
      </c>
      <c r="AI234" s="8">
        <f t="shared" si="13"/>
        <v>290.99898199999961</v>
      </c>
      <c r="AJ234" s="8">
        <f t="shared" si="14"/>
        <v>4084.4477620000002</v>
      </c>
      <c r="AK234" s="8">
        <f t="shared" si="15"/>
        <v>209.62776200000008</v>
      </c>
    </row>
    <row r="235" spans="1:37" x14ac:dyDescent="0.3">
      <c r="A235" s="1">
        <v>249</v>
      </c>
      <c r="B235" s="2" t="s">
        <v>1648</v>
      </c>
      <c r="C235" s="2" t="s">
        <v>100</v>
      </c>
      <c r="D235" s="2" t="s">
        <v>101</v>
      </c>
      <c r="E235" s="1">
        <v>1</v>
      </c>
      <c r="F235" s="2" t="s">
        <v>1649</v>
      </c>
      <c r="G235" s="2" t="s">
        <v>1513</v>
      </c>
      <c r="H235" s="2" t="s">
        <v>31</v>
      </c>
      <c r="I235" s="2" t="s">
        <v>32</v>
      </c>
      <c r="J235" s="2" t="s">
        <v>118</v>
      </c>
      <c r="K235" s="10" t="s">
        <v>2835</v>
      </c>
      <c r="L235" s="2" t="s">
        <v>1644</v>
      </c>
      <c r="M235" s="2" t="s">
        <v>31</v>
      </c>
      <c r="N235" s="2" t="s">
        <v>1645</v>
      </c>
      <c r="O235" s="2" t="s">
        <v>31</v>
      </c>
      <c r="P235" s="2" t="s">
        <v>1646</v>
      </c>
      <c r="Q235" s="2" t="s">
        <v>59</v>
      </c>
      <c r="R235" s="2" t="s">
        <v>48</v>
      </c>
      <c r="S235" s="2" t="s">
        <v>31</v>
      </c>
      <c r="T235" s="2" t="s">
        <v>60</v>
      </c>
      <c r="U235" s="2">
        <v>0</v>
      </c>
      <c r="V235" s="10">
        <v>1905</v>
      </c>
      <c r="W235" s="10">
        <v>400</v>
      </c>
      <c r="X235" s="11">
        <v>0</v>
      </c>
      <c r="Y235" s="11">
        <v>1</v>
      </c>
      <c r="Z235" s="2" t="s">
        <v>31</v>
      </c>
      <c r="AA235" s="2" t="s">
        <v>1647</v>
      </c>
      <c r="AB235" s="3">
        <v>30470</v>
      </c>
      <c r="AC235" s="2">
        <v>1</v>
      </c>
      <c r="AD235" s="2" t="s">
        <v>39</v>
      </c>
      <c r="AE235" s="2">
        <v>0.36</v>
      </c>
      <c r="AF235" s="4">
        <v>326300</v>
      </c>
      <c r="AG235" s="8">
        <v>3341.31</v>
      </c>
      <c r="AH235" s="8">
        <f t="shared" si="12"/>
        <v>3592.2423809999996</v>
      </c>
      <c r="AI235" s="8">
        <f t="shared" si="13"/>
        <v>250.93238099999962</v>
      </c>
      <c r="AJ235" s="8">
        <f t="shared" si="14"/>
        <v>3522.0748710000003</v>
      </c>
      <c r="AK235" s="8">
        <f t="shared" si="15"/>
        <v>180.76487100000031</v>
      </c>
    </row>
    <row r="236" spans="1:37" x14ac:dyDescent="0.3">
      <c r="A236" s="1">
        <v>18896</v>
      </c>
      <c r="B236" s="2" t="s">
        <v>2768</v>
      </c>
      <c r="C236" s="2" t="s">
        <v>1929</v>
      </c>
      <c r="D236" s="2" t="s">
        <v>101</v>
      </c>
      <c r="E236" s="1">
        <v>0</v>
      </c>
      <c r="F236" s="2" t="s">
        <v>2769</v>
      </c>
      <c r="G236" s="2" t="s">
        <v>1223</v>
      </c>
      <c r="H236" s="2" t="s">
        <v>31</v>
      </c>
      <c r="I236" s="2" t="s">
        <v>32</v>
      </c>
      <c r="J236" s="2" t="s">
        <v>2770</v>
      </c>
      <c r="K236" s="10" t="s">
        <v>2835</v>
      </c>
      <c r="L236" s="2" t="s">
        <v>2771</v>
      </c>
      <c r="M236" s="2" t="s">
        <v>31</v>
      </c>
      <c r="N236" s="2" t="s">
        <v>1645</v>
      </c>
      <c r="O236" s="2" t="s">
        <v>31</v>
      </c>
      <c r="P236" s="2" t="s">
        <v>1646</v>
      </c>
      <c r="Q236" s="2" t="s">
        <v>59</v>
      </c>
      <c r="R236" s="2" t="s">
        <v>48</v>
      </c>
      <c r="S236" s="2" t="s">
        <v>31</v>
      </c>
      <c r="T236" s="2" t="s">
        <v>60</v>
      </c>
      <c r="U236" s="2">
        <v>0</v>
      </c>
      <c r="V236" s="10">
        <v>1905</v>
      </c>
      <c r="W236" s="10">
        <v>0</v>
      </c>
      <c r="X236" s="11">
        <v>0</v>
      </c>
      <c r="Y236" s="11">
        <v>0</v>
      </c>
      <c r="Z236" s="2" t="s">
        <v>31</v>
      </c>
      <c r="AA236" s="2" t="s">
        <v>31</v>
      </c>
      <c r="AB236" s="3" t="s">
        <v>31</v>
      </c>
      <c r="AC236" s="2" t="s">
        <v>31</v>
      </c>
      <c r="AD236" s="2" t="s">
        <v>39</v>
      </c>
      <c r="AE236" s="2">
        <v>0</v>
      </c>
      <c r="AF236" s="4">
        <v>153600</v>
      </c>
      <c r="AG236" s="8">
        <v>1572.86</v>
      </c>
      <c r="AH236" s="8">
        <f t="shared" si="12"/>
        <v>1690.9817859999998</v>
      </c>
      <c r="AI236" s="8">
        <f t="shared" si="13"/>
        <v>118.12178599999993</v>
      </c>
      <c r="AJ236" s="8">
        <f t="shared" si="14"/>
        <v>1657.951726</v>
      </c>
      <c r="AK236" s="8">
        <f t="shared" si="15"/>
        <v>85.091726000000108</v>
      </c>
    </row>
    <row r="237" spans="1:37" x14ac:dyDescent="0.3">
      <c r="A237" s="1">
        <v>18897</v>
      </c>
      <c r="B237" s="2" t="s">
        <v>2772</v>
      </c>
      <c r="C237" s="2" t="s">
        <v>1929</v>
      </c>
      <c r="D237" s="2" t="s">
        <v>101</v>
      </c>
      <c r="E237" s="1">
        <v>0</v>
      </c>
      <c r="F237" s="2" t="s">
        <v>2773</v>
      </c>
      <c r="G237" s="2" t="s">
        <v>1223</v>
      </c>
      <c r="H237" s="2" t="s">
        <v>31</v>
      </c>
      <c r="I237" s="2" t="s">
        <v>32</v>
      </c>
      <c r="J237" s="2" t="s">
        <v>2774</v>
      </c>
      <c r="K237" s="10" t="s">
        <v>2835</v>
      </c>
      <c r="L237" s="2" t="s">
        <v>1614</v>
      </c>
      <c r="M237" s="2" t="s">
        <v>1615</v>
      </c>
      <c r="N237" s="2" t="s">
        <v>1616</v>
      </c>
      <c r="O237" s="2" t="s">
        <v>1617</v>
      </c>
      <c r="P237" s="2" t="s">
        <v>1618</v>
      </c>
      <c r="Q237" s="2" t="s">
        <v>59</v>
      </c>
      <c r="R237" s="2" t="s">
        <v>48</v>
      </c>
      <c r="S237" s="2" t="s">
        <v>31</v>
      </c>
      <c r="T237" s="2" t="s">
        <v>60</v>
      </c>
      <c r="U237" s="2">
        <v>0</v>
      </c>
      <c r="V237" s="10">
        <v>1905</v>
      </c>
      <c r="W237" s="10">
        <v>0</v>
      </c>
      <c r="X237" s="11">
        <v>0</v>
      </c>
      <c r="Y237" s="11">
        <v>0</v>
      </c>
      <c r="Z237" s="2" t="s">
        <v>31</v>
      </c>
      <c r="AA237" s="2" t="s">
        <v>1619</v>
      </c>
      <c r="AB237" s="3">
        <v>42670</v>
      </c>
      <c r="AC237" s="2">
        <v>728000</v>
      </c>
      <c r="AD237" s="2" t="s">
        <v>39</v>
      </c>
      <c r="AE237" s="2">
        <v>0</v>
      </c>
      <c r="AF237" s="4">
        <v>50400</v>
      </c>
      <c r="AG237" s="8">
        <v>516.1</v>
      </c>
      <c r="AH237" s="8">
        <f t="shared" si="12"/>
        <v>554.85910999999999</v>
      </c>
      <c r="AI237" s="8">
        <f t="shared" si="13"/>
        <v>38.759109999999964</v>
      </c>
      <c r="AJ237" s="8">
        <f t="shared" si="14"/>
        <v>544.02101000000005</v>
      </c>
      <c r="AK237" s="8">
        <f t="shared" si="15"/>
        <v>27.921010000000024</v>
      </c>
    </row>
    <row r="238" spans="1:37" x14ac:dyDescent="0.3">
      <c r="A238" s="1">
        <v>250</v>
      </c>
      <c r="B238" s="2" t="s">
        <v>1650</v>
      </c>
      <c r="C238" s="2" t="s">
        <v>439</v>
      </c>
      <c r="D238" s="2" t="s">
        <v>28</v>
      </c>
      <c r="E238" s="1">
        <v>25</v>
      </c>
      <c r="F238" s="2" t="s">
        <v>1651</v>
      </c>
      <c r="G238" s="2" t="s">
        <v>1652</v>
      </c>
      <c r="H238" s="2" t="s">
        <v>31</v>
      </c>
      <c r="I238" s="2" t="s">
        <v>32</v>
      </c>
      <c r="J238" s="2" t="s">
        <v>31</v>
      </c>
      <c r="K238" s="10" t="s">
        <v>31</v>
      </c>
      <c r="L238" s="2" t="s">
        <v>1653</v>
      </c>
      <c r="M238" s="2" t="s">
        <v>31</v>
      </c>
      <c r="N238" s="2" t="s">
        <v>1654</v>
      </c>
      <c r="O238" s="2" t="s">
        <v>31</v>
      </c>
      <c r="P238" s="2" t="s">
        <v>1655</v>
      </c>
      <c r="Q238" s="2" t="s">
        <v>59</v>
      </c>
      <c r="R238" s="2" t="s">
        <v>48</v>
      </c>
      <c r="S238" s="2" t="s">
        <v>31</v>
      </c>
      <c r="T238" s="2" t="s">
        <v>60</v>
      </c>
      <c r="U238" s="2">
        <v>10442</v>
      </c>
      <c r="V238" s="10">
        <v>1910</v>
      </c>
      <c r="W238" s="10">
        <v>36284.22</v>
      </c>
      <c r="X238" s="11">
        <v>0</v>
      </c>
      <c r="Y238" s="11">
        <v>25</v>
      </c>
      <c r="Z238" s="2" t="s">
        <v>447</v>
      </c>
      <c r="AA238" s="2" t="s">
        <v>1656</v>
      </c>
      <c r="AB238" s="3">
        <v>29789</v>
      </c>
      <c r="AC238" s="2">
        <v>1114000</v>
      </c>
      <c r="AD238" s="2" t="s">
        <v>39</v>
      </c>
      <c r="AE238" s="2">
        <v>0</v>
      </c>
      <c r="AF238" s="4">
        <v>12960600</v>
      </c>
      <c r="AG238" s="8">
        <v>132716.54</v>
      </c>
      <c r="AH238" s="8">
        <f t="shared" si="12"/>
        <v>142683.552154</v>
      </c>
      <c r="AI238" s="8">
        <f t="shared" si="13"/>
        <v>9967.0121539999964</v>
      </c>
      <c r="AJ238" s="8">
        <f t="shared" si="14"/>
        <v>139896.50481400001</v>
      </c>
      <c r="AK238" s="8">
        <f t="shared" si="15"/>
        <v>7179.9648140000063</v>
      </c>
    </row>
    <row r="239" spans="1:37" x14ac:dyDescent="0.3">
      <c r="A239" s="1">
        <v>252</v>
      </c>
      <c r="B239" s="2" t="s">
        <v>1657</v>
      </c>
      <c r="C239" s="2" t="s">
        <v>100</v>
      </c>
      <c r="D239" s="2" t="s">
        <v>101</v>
      </c>
      <c r="E239" s="1">
        <v>1</v>
      </c>
      <c r="F239" s="2" t="s">
        <v>1658</v>
      </c>
      <c r="G239" s="2" t="s">
        <v>1659</v>
      </c>
      <c r="H239" s="2" t="s">
        <v>31</v>
      </c>
      <c r="I239" s="2" t="s">
        <v>32</v>
      </c>
      <c r="J239" s="2" t="s">
        <v>1660</v>
      </c>
      <c r="K239" s="10" t="s">
        <v>2836</v>
      </c>
      <c r="L239" s="2" t="s">
        <v>1661</v>
      </c>
      <c r="M239" s="2" t="s">
        <v>1662</v>
      </c>
      <c r="N239" s="2" t="s">
        <v>31</v>
      </c>
      <c r="O239" s="2" t="s">
        <v>31</v>
      </c>
      <c r="P239" s="2" t="s">
        <v>1663</v>
      </c>
      <c r="Q239" s="2" t="s">
        <v>59</v>
      </c>
      <c r="R239" s="2" t="s">
        <v>48</v>
      </c>
      <c r="S239" s="2" t="s">
        <v>31</v>
      </c>
      <c r="T239" s="2" t="s">
        <v>60</v>
      </c>
      <c r="U239" s="2">
        <v>0</v>
      </c>
      <c r="V239" s="10">
        <v>1915</v>
      </c>
      <c r="W239" s="10">
        <v>1534</v>
      </c>
      <c r="X239" s="11">
        <v>0</v>
      </c>
      <c r="Y239" s="11">
        <v>1</v>
      </c>
      <c r="Z239" s="2" t="s">
        <v>31</v>
      </c>
      <c r="AA239" s="2" t="s">
        <v>1664</v>
      </c>
      <c r="AB239" s="3">
        <v>44403</v>
      </c>
      <c r="AC239" s="2">
        <v>1090000</v>
      </c>
      <c r="AD239" s="2" t="s">
        <v>107</v>
      </c>
      <c r="AE239" s="2">
        <v>1.94</v>
      </c>
      <c r="AF239" s="4">
        <v>845500</v>
      </c>
      <c r="AG239" s="8">
        <v>5022.99</v>
      </c>
      <c r="AH239" s="8">
        <f t="shared" si="12"/>
        <v>5400.2165489999998</v>
      </c>
      <c r="AI239" s="8">
        <f t="shared" si="13"/>
        <v>377.22654899999998</v>
      </c>
      <c r="AJ239" s="8">
        <f t="shared" si="14"/>
        <v>5294.7337589999997</v>
      </c>
      <c r="AK239" s="8">
        <f t="shared" si="15"/>
        <v>271.74375899999995</v>
      </c>
    </row>
    <row r="240" spans="1:37" x14ac:dyDescent="0.3">
      <c r="A240" s="1">
        <v>253</v>
      </c>
      <c r="B240" s="2" t="s">
        <v>1665</v>
      </c>
      <c r="C240" s="2" t="s">
        <v>100</v>
      </c>
      <c r="D240" s="2" t="s">
        <v>101</v>
      </c>
      <c r="E240" s="1">
        <v>1</v>
      </c>
      <c r="F240" s="2" t="s">
        <v>1666</v>
      </c>
      <c r="G240" s="2" t="s">
        <v>1659</v>
      </c>
      <c r="H240" s="2" t="s">
        <v>31</v>
      </c>
      <c r="I240" s="2" t="s">
        <v>32</v>
      </c>
      <c r="J240" s="2" t="s">
        <v>1667</v>
      </c>
      <c r="K240" s="10" t="s">
        <v>2836</v>
      </c>
      <c r="L240" s="2" t="s">
        <v>1668</v>
      </c>
      <c r="M240" s="2" t="s">
        <v>525</v>
      </c>
      <c r="N240" s="2" t="s">
        <v>1669</v>
      </c>
      <c r="O240" s="2" t="s">
        <v>1670</v>
      </c>
      <c r="P240" s="2" t="s">
        <v>1671</v>
      </c>
      <c r="Q240" s="2" t="s">
        <v>435</v>
      </c>
      <c r="R240" s="2" t="s">
        <v>48</v>
      </c>
      <c r="S240" s="2" t="s">
        <v>31</v>
      </c>
      <c r="T240" s="2" t="s">
        <v>436</v>
      </c>
      <c r="U240" s="2">
        <v>0</v>
      </c>
      <c r="V240" s="10">
        <v>1915</v>
      </c>
      <c r="W240" s="10">
        <v>955</v>
      </c>
      <c r="X240" s="11">
        <v>0</v>
      </c>
      <c r="Y240" s="11">
        <v>1</v>
      </c>
      <c r="Z240" s="2" t="s">
        <v>31</v>
      </c>
      <c r="AA240" s="2" t="s">
        <v>1672</v>
      </c>
      <c r="AB240" s="3">
        <v>44544</v>
      </c>
      <c r="AC240" s="2">
        <v>665000</v>
      </c>
      <c r="AD240" s="2" t="s">
        <v>39</v>
      </c>
      <c r="AE240" s="2">
        <v>2.16</v>
      </c>
      <c r="AF240" s="4">
        <v>588400</v>
      </c>
      <c r="AG240" s="8">
        <v>6025.22</v>
      </c>
      <c r="AH240" s="8">
        <f t="shared" si="12"/>
        <v>6477.7140220000001</v>
      </c>
      <c r="AI240" s="8">
        <f t="shared" si="13"/>
        <v>452.49402199999986</v>
      </c>
      <c r="AJ240" s="8">
        <f t="shared" si="14"/>
        <v>6351.1844020000008</v>
      </c>
      <c r="AK240" s="8">
        <f t="shared" si="15"/>
        <v>325.96440200000052</v>
      </c>
    </row>
    <row r="241" spans="1:37" x14ac:dyDescent="0.3">
      <c r="A241" s="1">
        <v>254</v>
      </c>
      <c r="B241" s="2" t="s">
        <v>1673</v>
      </c>
      <c r="C241" s="2" t="s">
        <v>100</v>
      </c>
      <c r="D241" s="2" t="s">
        <v>101</v>
      </c>
      <c r="E241" s="1">
        <v>1</v>
      </c>
      <c r="F241" s="2" t="s">
        <v>1674</v>
      </c>
      <c r="G241" s="2" t="s">
        <v>1659</v>
      </c>
      <c r="H241" s="2" t="s">
        <v>31</v>
      </c>
      <c r="I241" s="2" t="s">
        <v>32</v>
      </c>
      <c r="J241" s="2" t="s">
        <v>309</v>
      </c>
      <c r="K241" s="10" t="s">
        <v>2836</v>
      </c>
      <c r="L241" s="2" t="s">
        <v>1675</v>
      </c>
      <c r="M241" s="2" t="s">
        <v>1676</v>
      </c>
      <c r="N241" s="2" t="s">
        <v>31</v>
      </c>
      <c r="O241" s="2" t="s">
        <v>31</v>
      </c>
      <c r="P241" s="2" t="s">
        <v>1677</v>
      </c>
      <c r="Q241" s="2" t="s">
        <v>59</v>
      </c>
      <c r="R241" s="2" t="s">
        <v>48</v>
      </c>
      <c r="S241" s="2" t="s">
        <v>31</v>
      </c>
      <c r="T241" s="2" t="s">
        <v>60</v>
      </c>
      <c r="U241" s="2">
        <v>0</v>
      </c>
      <c r="V241" s="10">
        <v>1915</v>
      </c>
      <c r="W241" s="10">
        <v>2521</v>
      </c>
      <c r="X241" s="11">
        <v>0</v>
      </c>
      <c r="Y241" s="11">
        <v>1</v>
      </c>
      <c r="Z241" s="2" t="s">
        <v>31</v>
      </c>
      <c r="AA241" s="2" t="s">
        <v>1678</v>
      </c>
      <c r="AB241" s="3">
        <v>45449</v>
      </c>
      <c r="AC241" s="2">
        <v>1</v>
      </c>
      <c r="AD241" s="2" t="s">
        <v>39</v>
      </c>
      <c r="AE241" s="2">
        <v>6.34</v>
      </c>
      <c r="AF241" s="4">
        <v>1578100</v>
      </c>
      <c r="AG241" s="8">
        <v>16159.74</v>
      </c>
      <c r="AH241" s="8">
        <f t="shared" si="12"/>
        <v>17373.336474</v>
      </c>
      <c r="AI241" s="8">
        <f t="shared" si="13"/>
        <v>1213.5964739999999</v>
      </c>
      <c r="AJ241" s="8">
        <f t="shared" si="14"/>
        <v>17033.981933999999</v>
      </c>
      <c r="AK241" s="8">
        <f t="shared" si="15"/>
        <v>874.24193399999967</v>
      </c>
    </row>
    <row r="242" spans="1:37" x14ac:dyDescent="0.3">
      <c r="A242" s="1">
        <v>255</v>
      </c>
      <c r="B242" s="2" t="s">
        <v>1679</v>
      </c>
      <c r="C242" s="2" t="s">
        <v>100</v>
      </c>
      <c r="D242" s="2" t="s">
        <v>101</v>
      </c>
      <c r="E242" s="1">
        <v>1</v>
      </c>
      <c r="F242" s="2" t="s">
        <v>1680</v>
      </c>
      <c r="G242" s="2" t="s">
        <v>1659</v>
      </c>
      <c r="H242" s="2" t="s">
        <v>31</v>
      </c>
      <c r="I242" s="2" t="s">
        <v>32</v>
      </c>
      <c r="J242" s="2" t="s">
        <v>1681</v>
      </c>
      <c r="K242" s="10" t="s">
        <v>2836</v>
      </c>
      <c r="L242" s="2" t="s">
        <v>1682</v>
      </c>
      <c r="M242" s="2" t="s">
        <v>1683</v>
      </c>
      <c r="N242" s="2" t="s">
        <v>31</v>
      </c>
      <c r="O242" s="2" t="s">
        <v>31</v>
      </c>
      <c r="P242" s="2" t="s">
        <v>1684</v>
      </c>
      <c r="Q242" s="2" t="s">
        <v>59</v>
      </c>
      <c r="R242" s="2" t="s">
        <v>48</v>
      </c>
      <c r="S242" s="2" t="s">
        <v>888</v>
      </c>
      <c r="T242" s="2" t="s">
        <v>60</v>
      </c>
      <c r="U242" s="2">
        <v>0</v>
      </c>
      <c r="V242" s="10">
        <v>1915</v>
      </c>
      <c r="W242" s="10">
        <v>941</v>
      </c>
      <c r="X242" s="11">
        <v>0</v>
      </c>
      <c r="Y242" s="11">
        <v>1</v>
      </c>
      <c r="Z242" s="2" t="s">
        <v>31</v>
      </c>
      <c r="AA242" s="2" t="s">
        <v>1685</v>
      </c>
      <c r="AB242" s="3">
        <v>44104</v>
      </c>
      <c r="AC242" s="2">
        <v>670000</v>
      </c>
      <c r="AD242" s="2" t="s">
        <v>39</v>
      </c>
      <c r="AE242" s="2">
        <v>2.72</v>
      </c>
      <c r="AF242" s="4">
        <v>659900</v>
      </c>
      <c r="AG242" s="8">
        <v>6757.38</v>
      </c>
      <c r="AH242" s="8">
        <f t="shared" si="12"/>
        <v>7264.859238</v>
      </c>
      <c r="AI242" s="8">
        <f t="shared" si="13"/>
        <v>507.4792379999999</v>
      </c>
      <c r="AJ242" s="8">
        <f t="shared" si="14"/>
        <v>7122.9542580000007</v>
      </c>
      <c r="AK242" s="8">
        <f t="shared" si="15"/>
        <v>365.57425800000055</v>
      </c>
    </row>
    <row r="243" spans="1:37" x14ac:dyDescent="0.3">
      <c r="A243" s="1">
        <v>256</v>
      </c>
      <c r="B243" s="2" t="s">
        <v>1686</v>
      </c>
      <c r="C243" s="2" t="s">
        <v>100</v>
      </c>
      <c r="D243" s="2" t="s">
        <v>101</v>
      </c>
      <c r="E243" s="1">
        <v>1</v>
      </c>
      <c r="F243" s="2" t="s">
        <v>1687</v>
      </c>
      <c r="G243" s="2" t="s">
        <v>1659</v>
      </c>
      <c r="H243" s="2" t="s">
        <v>31</v>
      </c>
      <c r="I243" s="2" t="s">
        <v>32</v>
      </c>
      <c r="J243" s="2" t="s">
        <v>1688</v>
      </c>
      <c r="K243" s="10" t="s">
        <v>2836</v>
      </c>
      <c r="L243" s="2" t="s">
        <v>1689</v>
      </c>
      <c r="M243" s="2" t="s">
        <v>1690</v>
      </c>
      <c r="N243" s="2" t="s">
        <v>31</v>
      </c>
      <c r="O243" s="2" t="s">
        <v>31</v>
      </c>
      <c r="P243" s="2" t="s">
        <v>1691</v>
      </c>
      <c r="Q243" s="2" t="s">
        <v>59</v>
      </c>
      <c r="R243" s="2" t="s">
        <v>48</v>
      </c>
      <c r="S243" s="2" t="s">
        <v>31</v>
      </c>
      <c r="T243" s="2" t="s">
        <v>60</v>
      </c>
      <c r="U243" s="2">
        <v>0</v>
      </c>
      <c r="V243" s="10">
        <v>1915</v>
      </c>
      <c r="W243" s="10">
        <v>739</v>
      </c>
      <c r="X243" s="11">
        <v>0</v>
      </c>
      <c r="Y243" s="11">
        <v>1</v>
      </c>
      <c r="Z243" s="2" t="s">
        <v>31</v>
      </c>
      <c r="AA243" s="2" t="s">
        <v>1692</v>
      </c>
      <c r="AB243" s="3">
        <v>35992</v>
      </c>
      <c r="AC243" s="2">
        <v>175000</v>
      </c>
      <c r="AD243" s="2" t="s">
        <v>39</v>
      </c>
      <c r="AE243" s="2">
        <v>2.4900000000000002</v>
      </c>
      <c r="AF243" s="4">
        <v>541600</v>
      </c>
      <c r="AG243" s="8">
        <v>5545.98</v>
      </c>
      <c r="AH243" s="8">
        <f t="shared" si="12"/>
        <v>5962.4830979999988</v>
      </c>
      <c r="AI243" s="8">
        <f t="shared" si="13"/>
        <v>416.50309799999923</v>
      </c>
      <c r="AJ243" s="8">
        <f t="shared" si="14"/>
        <v>5846.0175179999997</v>
      </c>
      <c r="AK243" s="8">
        <f t="shared" si="15"/>
        <v>300.03751800000009</v>
      </c>
    </row>
    <row r="244" spans="1:37" x14ac:dyDescent="0.3">
      <c r="A244" s="1">
        <v>257</v>
      </c>
      <c r="B244" s="2" t="s">
        <v>1693</v>
      </c>
      <c r="C244" s="2" t="s">
        <v>100</v>
      </c>
      <c r="D244" s="2" t="s">
        <v>101</v>
      </c>
      <c r="E244" s="1">
        <v>1</v>
      </c>
      <c r="F244" s="2" t="s">
        <v>1694</v>
      </c>
      <c r="G244" s="2" t="s">
        <v>1659</v>
      </c>
      <c r="H244" s="2" t="s">
        <v>31</v>
      </c>
      <c r="I244" s="2" t="s">
        <v>32</v>
      </c>
      <c r="J244" s="2" t="s">
        <v>1695</v>
      </c>
      <c r="K244" s="10" t="s">
        <v>2836</v>
      </c>
      <c r="L244" s="2" t="s">
        <v>1696</v>
      </c>
      <c r="M244" s="2" t="s">
        <v>1697</v>
      </c>
      <c r="N244" s="2" t="s">
        <v>31</v>
      </c>
      <c r="O244" s="2" t="s">
        <v>31</v>
      </c>
      <c r="P244" s="2" t="s">
        <v>1698</v>
      </c>
      <c r="Q244" s="2" t="s">
        <v>59</v>
      </c>
      <c r="R244" s="2" t="s">
        <v>48</v>
      </c>
      <c r="S244" s="2" t="s">
        <v>31</v>
      </c>
      <c r="T244" s="2" t="s">
        <v>60</v>
      </c>
      <c r="U244" s="2">
        <v>0</v>
      </c>
      <c r="V244" s="10">
        <v>1915</v>
      </c>
      <c r="W244" s="10">
        <v>925</v>
      </c>
      <c r="X244" s="11">
        <v>0</v>
      </c>
      <c r="Y244" s="11">
        <v>1</v>
      </c>
      <c r="Z244" s="2" t="s">
        <v>31</v>
      </c>
      <c r="AA244" s="2" t="s">
        <v>1699</v>
      </c>
      <c r="AB244" s="3">
        <v>44344</v>
      </c>
      <c r="AC244" s="2">
        <v>700000</v>
      </c>
      <c r="AD244" s="2" t="s">
        <v>39</v>
      </c>
      <c r="AE244" s="2">
        <v>2.94</v>
      </c>
      <c r="AF244" s="4">
        <v>659600</v>
      </c>
      <c r="AG244" s="8">
        <v>6754.3</v>
      </c>
      <c r="AH244" s="8">
        <f t="shared" si="12"/>
        <v>7261.5479299999997</v>
      </c>
      <c r="AI244" s="8">
        <f t="shared" si="13"/>
        <v>507.24792999999954</v>
      </c>
      <c r="AJ244" s="8">
        <f t="shared" si="14"/>
        <v>7119.7076300000008</v>
      </c>
      <c r="AK244" s="8">
        <f t="shared" si="15"/>
        <v>365.40763000000061</v>
      </c>
    </row>
    <row r="245" spans="1:37" x14ac:dyDescent="0.3">
      <c r="A245" s="1">
        <v>258</v>
      </c>
      <c r="B245" s="2" t="s">
        <v>1700</v>
      </c>
      <c r="C245" s="2" t="s">
        <v>100</v>
      </c>
      <c r="D245" s="2" t="s">
        <v>101</v>
      </c>
      <c r="E245" s="1">
        <v>1</v>
      </c>
      <c r="F245" s="2" t="s">
        <v>1701</v>
      </c>
      <c r="G245" s="2" t="s">
        <v>1659</v>
      </c>
      <c r="H245" s="2" t="s">
        <v>31</v>
      </c>
      <c r="I245" s="2" t="s">
        <v>32</v>
      </c>
      <c r="J245" s="2" t="s">
        <v>1702</v>
      </c>
      <c r="K245" s="10" t="s">
        <v>2836</v>
      </c>
      <c r="L245" s="2" t="s">
        <v>1703</v>
      </c>
      <c r="M245" s="2" t="s">
        <v>1704</v>
      </c>
      <c r="N245" s="2" t="s">
        <v>31</v>
      </c>
      <c r="O245" s="2" t="s">
        <v>31</v>
      </c>
      <c r="P245" s="2" t="s">
        <v>1705</v>
      </c>
      <c r="Q245" s="2" t="s">
        <v>59</v>
      </c>
      <c r="R245" s="2" t="s">
        <v>48</v>
      </c>
      <c r="S245" s="2" t="s">
        <v>31</v>
      </c>
      <c r="T245" s="2" t="s">
        <v>60</v>
      </c>
      <c r="U245" s="2">
        <v>0</v>
      </c>
      <c r="V245" s="10">
        <v>1915</v>
      </c>
      <c r="W245" s="10">
        <v>2543</v>
      </c>
      <c r="X245" s="11">
        <v>0</v>
      </c>
      <c r="Y245" s="11">
        <v>1</v>
      </c>
      <c r="Z245" s="2" t="s">
        <v>31</v>
      </c>
      <c r="AA245" s="2" t="s">
        <v>1706</v>
      </c>
      <c r="AB245" s="3">
        <v>44440</v>
      </c>
      <c r="AC245" s="2">
        <v>1</v>
      </c>
      <c r="AD245" s="2" t="s">
        <v>107</v>
      </c>
      <c r="AE245" s="2">
        <v>6.56</v>
      </c>
      <c r="AF245" s="4">
        <v>1788300</v>
      </c>
      <c r="AG245" s="8">
        <v>14677.26</v>
      </c>
      <c r="AH245" s="8">
        <f t="shared" si="12"/>
        <v>15779.522225999999</v>
      </c>
      <c r="AI245" s="8">
        <f t="shared" si="13"/>
        <v>1102.2622259999989</v>
      </c>
      <c r="AJ245" s="8">
        <f t="shared" si="14"/>
        <v>15471.299766</v>
      </c>
      <c r="AK245" s="8">
        <f t="shared" si="15"/>
        <v>794.03976599999987</v>
      </c>
    </row>
    <row r="246" spans="1:37" x14ac:dyDescent="0.3">
      <c r="A246" s="1">
        <v>259</v>
      </c>
      <c r="B246" s="2" t="s">
        <v>1707</v>
      </c>
      <c r="C246" s="2" t="s">
        <v>100</v>
      </c>
      <c r="D246" s="2" t="s">
        <v>101</v>
      </c>
      <c r="E246" s="1">
        <v>1</v>
      </c>
      <c r="F246" s="2" t="s">
        <v>1708</v>
      </c>
      <c r="G246" s="2" t="s">
        <v>1659</v>
      </c>
      <c r="H246" s="2" t="s">
        <v>31</v>
      </c>
      <c r="I246" s="2" t="s">
        <v>32</v>
      </c>
      <c r="J246" s="2" t="s">
        <v>1709</v>
      </c>
      <c r="K246" s="10" t="s">
        <v>2836</v>
      </c>
      <c r="L246" s="2" t="s">
        <v>1276</v>
      </c>
      <c r="M246" s="2" t="s">
        <v>1710</v>
      </c>
      <c r="N246" s="2" t="s">
        <v>1711</v>
      </c>
      <c r="O246" s="2" t="s">
        <v>1712</v>
      </c>
      <c r="P246" s="2" t="s">
        <v>1713</v>
      </c>
      <c r="Q246" s="2" t="s">
        <v>59</v>
      </c>
      <c r="R246" s="2" t="s">
        <v>48</v>
      </c>
      <c r="S246" s="2" t="s">
        <v>31</v>
      </c>
      <c r="T246" s="2" t="s">
        <v>60</v>
      </c>
      <c r="U246" s="2">
        <v>0</v>
      </c>
      <c r="V246" s="10">
        <v>1915</v>
      </c>
      <c r="W246" s="10">
        <v>945</v>
      </c>
      <c r="X246" s="11">
        <v>0</v>
      </c>
      <c r="Y246" s="11">
        <v>1</v>
      </c>
      <c r="Z246" s="2" t="s">
        <v>31</v>
      </c>
      <c r="AA246" s="2" t="s">
        <v>1714</v>
      </c>
      <c r="AB246" s="3">
        <v>45083</v>
      </c>
      <c r="AC246" s="2">
        <v>750000</v>
      </c>
      <c r="AD246" s="2" t="s">
        <v>107</v>
      </c>
      <c r="AE246" s="2">
        <v>2.76</v>
      </c>
      <c r="AF246" s="4">
        <v>722900</v>
      </c>
      <c r="AG246" s="8">
        <v>3767.56</v>
      </c>
      <c r="AH246" s="8">
        <f t="shared" si="12"/>
        <v>4050.5037559999996</v>
      </c>
      <c r="AI246" s="8">
        <f t="shared" si="13"/>
        <v>282.94375599999967</v>
      </c>
      <c r="AJ246" s="8">
        <f t="shared" si="14"/>
        <v>3971.3849960000002</v>
      </c>
      <c r="AK246" s="8">
        <f t="shared" si="15"/>
        <v>203.82499600000028</v>
      </c>
    </row>
    <row r="247" spans="1:37" x14ac:dyDescent="0.3">
      <c r="A247" s="1">
        <v>260</v>
      </c>
      <c r="B247" s="2" t="s">
        <v>1715</v>
      </c>
      <c r="C247" s="2" t="s">
        <v>100</v>
      </c>
      <c r="D247" s="2" t="s">
        <v>101</v>
      </c>
      <c r="E247" s="1">
        <v>1</v>
      </c>
      <c r="F247" s="2" t="s">
        <v>1716</v>
      </c>
      <c r="G247" s="2" t="s">
        <v>1659</v>
      </c>
      <c r="H247" s="2" t="s">
        <v>31</v>
      </c>
      <c r="I247" s="2" t="s">
        <v>32</v>
      </c>
      <c r="J247" s="2" t="s">
        <v>1717</v>
      </c>
      <c r="K247" s="10" t="s">
        <v>2836</v>
      </c>
      <c r="L247" s="2" t="s">
        <v>975</v>
      </c>
      <c r="M247" s="2" t="s">
        <v>1718</v>
      </c>
      <c r="N247" s="2" t="s">
        <v>1719</v>
      </c>
      <c r="O247" s="2" t="s">
        <v>1720</v>
      </c>
      <c r="P247" s="2" t="s">
        <v>1721</v>
      </c>
      <c r="Q247" s="2" t="s">
        <v>1722</v>
      </c>
      <c r="R247" s="2" t="s">
        <v>1723</v>
      </c>
      <c r="S247" s="2" t="s">
        <v>31</v>
      </c>
      <c r="T247" s="2" t="s">
        <v>1724</v>
      </c>
      <c r="U247" s="2">
        <v>0</v>
      </c>
      <c r="V247" s="10">
        <v>1915</v>
      </c>
      <c r="W247" s="10">
        <v>743</v>
      </c>
      <c r="X247" s="11">
        <v>0</v>
      </c>
      <c r="Y247" s="11">
        <v>1</v>
      </c>
      <c r="Z247" s="2" t="s">
        <v>31</v>
      </c>
      <c r="AA247" s="2" t="s">
        <v>1725</v>
      </c>
      <c r="AB247" s="3">
        <v>41472</v>
      </c>
      <c r="AC247" s="2">
        <v>395000</v>
      </c>
      <c r="AD247" s="2" t="s">
        <v>39</v>
      </c>
      <c r="AE247" s="2">
        <v>2.54</v>
      </c>
      <c r="AF247" s="4">
        <v>563400</v>
      </c>
      <c r="AG247" s="8">
        <v>5769.22</v>
      </c>
      <c r="AH247" s="8">
        <f t="shared" si="12"/>
        <v>6202.4884220000004</v>
      </c>
      <c r="AI247" s="8">
        <f t="shared" si="13"/>
        <v>433.2684220000001</v>
      </c>
      <c r="AJ247" s="8">
        <f t="shared" si="14"/>
        <v>6081.3348020000003</v>
      </c>
      <c r="AK247" s="8">
        <f t="shared" si="15"/>
        <v>312.11480200000005</v>
      </c>
    </row>
    <row r="248" spans="1:37" x14ac:dyDescent="0.3">
      <c r="A248" s="1">
        <v>261</v>
      </c>
      <c r="B248" s="2" t="s">
        <v>1726</v>
      </c>
      <c r="C248" s="2" t="s">
        <v>100</v>
      </c>
      <c r="D248" s="2" t="s">
        <v>101</v>
      </c>
      <c r="E248" s="1">
        <v>1</v>
      </c>
      <c r="F248" s="2" t="s">
        <v>1727</v>
      </c>
      <c r="G248" s="2" t="s">
        <v>1659</v>
      </c>
      <c r="H248" s="2" t="s">
        <v>31</v>
      </c>
      <c r="I248" s="2" t="s">
        <v>32</v>
      </c>
      <c r="J248" s="2" t="s">
        <v>1728</v>
      </c>
      <c r="K248" s="10" t="s">
        <v>2836</v>
      </c>
      <c r="L248" s="2" t="s">
        <v>1729</v>
      </c>
      <c r="M248" s="2" t="s">
        <v>1730</v>
      </c>
      <c r="N248" s="2" t="s">
        <v>1731</v>
      </c>
      <c r="O248" s="2" t="s">
        <v>1732</v>
      </c>
      <c r="P248" s="2" t="s">
        <v>1733</v>
      </c>
      <c r="Q248" s="2" t="s">
        <v>59</v>
      </c>
      <c r="R248" s="2" t="s">
        <v>48</v>
      </c>
      <c r="S248" s="2" t="s">
        <v>31</v>
      </c>
      <c r="T248" s="2" t="s">
        <v>60</v>
      </c>
      <c r="U248" s="2">
        <v>0</v>
      </c>
      <c r="V248" s="10">
        <v>1915</v>
      </c>
      <c r="W248" s="10">
        <v>1040</v>
      </c>
      <c r="X248" s="11">
        <v>0</v>
      </c>
      <c r="Y248" s="11">
        <v>1</v>
      </c>
      <c r="Z248" s="2" t="s">
        <v>31</v>
      </c>
      <c r="AA248" s="2" t="s">
        <v>1734</v>
      </c>
      <c r="AB248" s="3">
        <v>44960</v>
      </c>
      <c r="AC248" s="2">
        <v>775000</v>
      </c>
      <c r="AD248" s="2" t="s">
        <v>107</v>
      </c>
      <c r="AE248" s="2">
        <v>3.17</v>
      </c>
      <c r="AF248" s="4">
        <v>807200</v>
      </c>
      <c r="AG248" s="8">
        <v>4630.79</v>
      </c>
      <c r="AH248" s="8">
        <f t="shared" si="12"/>
        <v>4978.5623289999994</v>
      </c>
      <c r="AI248" s="8">
        <f t="shared" si="13"/>
        <v>347.77232899999944</v>
      </c>
      <c r="AJ248" s="8">
        <f t="shared" si="14"/>
        <v>4881.3157390000006</v>
      </c>
      <c r="AK248" s="8">
        <f t="shared" si="15"/>
        <v>250.52573900000061</v>
      </c>
    </row>
    <row r="249" spans="1:37" x14ac:dyDescent="0.3">
      <c r="A249" s="1">
        <v>262</v>
      </c>
      <c r="B249" s="2" t="s">
        <v>1735</v>
      </c>
      <c r="C249" s="2" t="s">
        <v>100</v>
      </c>
      <c r="D249" s="2" t="s">
        <v>101</v>
      </c>
      <c r="E249" s="1">
        <v>1</v>
      </c>
      <c r="F249" s="2" t="s">
        <v>1736</v>
      </c>
      <c r="G249" s="2" t="s">
        <v>1659</v>
      </c>
      <c r="H249" s="2" t="s">
        <v>31</v>
      </c>
      <c r="I249" s="2" t="s">
        <v>32</v>
      </c>
      <c r="J249" s="2" t="s">
        <v>1737</v>
      </c>
      <c r="K249" s="10" t="s">
        <v>2836</v>
      </c>
      <c r="L249" s="2" t="s">
        <v>1738</v>
      </c>
      <c r="M249" s="2" t="s">
        <v>1739</v>
      </c>
      <c r="N249" s="2" t="s">
        <v>31</v>
      </c>
      <c r="O249" s="2" t="s">
        <v>31</v>
      </c>
      <c r="P249" s="2" t="s">
        <v>1740</v>
      </c>
      <c r="Q249" s="2" t="s">
        <v>1741</v>
      </c>
      <c r="R249" s="2" t="s">
        <v>1742</v>
      </c>
      <c r="S249" s="2" t="s">
        <v>31</v>
      </c>
      <c r="T249" s="2" t="s">
        <v>1743</v>
      </c>
      <c r="U249" s="2">
        <v>0</v>
      </c>
      <c r="V249" s="10">
        <v>1915</v>
      </c>
      <c r="W249" s="10">
        <v>1070</v>
      </c>
      <c r="X249" s="11">
        <v>0</v>
      </c>
      <c r="Y249" s="11">
        <v>1</v>
      </c>
      <c r="Z249" s="2" t="s">
        <v>31</v>
      </c>
      <c r="AA249" s="2" t="s">
        <v>1744</v>
      </c>
      <c r="AB249" s="3">
        <v>39283</v>
      </c>
      <c r="AC249" s="2">
        <v>450000</v>
      </c>
      <c r="AD249" s="2" t="s">
        <v>39</v>
      </c>
      <c r="AE249" s="2">
        <v>3.26</v>
      </c>
      <c r="AF249" s="4">
        <v>824300</v>
      </c>
      <c r="AG249" s="8">
        <v>8440.83</v>
      </c>
      <c r="AH249" s="8">
        <f t="shared" si="12"/>
        <v>9074.7363329999989</v>
      </c>
      <c r="AI249" s="8">
        <f t="shared" si="13"/>
        <v>633.90633299999899</v>
      </c>
      <c r="AJ249" s="8">
        <f t="shared" si="14"/>
        <v>8897.4789030000011</v>
      </c>
      <c r="AK249" s="8">
        <f t="shared" si="15"/>
        <v>456.64890300000116</v>
      </c>
    </row>
    <row r="250" spans="1:37" x14ac:dyDescent="0.3">
      <c r="A250" s="1">
        <v>263</v>
      </c>
      <c r="B250" s="2" t="s">
        <v>1745</v>
      </c>
      <c r="C250" s="2" t="s">
        <v>100</v>
      </c>
      <c r="D250" s="2" t="s">
        <v>101</v>
      </c>
      <c r="E250" s="1">
        <v>1</v>
      </c>
      <c r="F250" s="2" t="s">
        <v>1746</v>
      </c>
      <c r="G250" s="2" t="s">
        <v>1659</v>
      </c>
      <c r="H250" s="2" t="s">
        <v>31</v>
      </c>
      <c r="I250" s="2" t="s">
        <v>32</v>
      </c>
      <c r="J250" s="2" t="s">
        <v>1747</v>
      </c>
      <c r="K250" s="10" t="s">
        <v>2836</v>
      </c>
      <c r="L250" s="2" t="s">
        <v>1748</v>
      </c>
      <c r="M250" s="2" t="s">
        <v>1749</v>
      </c>
      <c r="N250" s="2" t="s">
        <v>31</v>
      </c>
      <c r="O250" s="2" t="s">
        <v>31</v>
      </c>
      <c r="P250" s="2" t="s">
        <v>1750</v>
      </c>
      <c r="Q250" s="2" t="s">
        <v>1751</v>
      </c>
      <c r="R250" s="2" t="s">
        <v>1752</v>
      </c>
      <c r="S250" s="2" t="s">
        <v>31</v>
      </c>
      <c r="T250" s="2" t="s">
        <v>1753</v>
      </c>
      <c r="U250" s="2">
        <v>0</v>
      </c>
      <c r="V250" s="10">
        <v>1915</v>
      </c>
      <c r="W250" s="10">
        <v>1392</v>
      </c>
      <c r="X250" s="11">
        <v>0</v>
      </c>
      <c r="Y250" s="11">
        <v>1</v>
      </c>
      <c r="Z250" s="2" t="s">
        <v>31</v>
      </c>
      <c r="AA250" s="2" t="s">
        <v>1754</v>
      </c>
      <c r="AB250" s="3">
        <v>39510</v>
      </c>
      <c r="AC250" s="2">
        <v>576000</v>
      </c>
      <c r="AD250" s="2" t="s">
        <v>39</v>
      </c>
      <c r="AE250" s="2">
        <v>3.98</v>
      </c>
      <c r="AF250" s="4">
        <v>973200</v>
      </c>
      <c r="AG250" s="8">
        <v>9965.57</v>
      </c>
      <c r="AH250" s="8">
        <f t="shared" si="12"/>
        <v>10713.984306999999</v>
      </c>
      <c r="AI250" s="8">
        <f t="shared" si="13"/>
        <v>748.4143069999991</v>
      </c>
      <c r="AJ250" s="8">
        <f t="shared" si="14"/>
        <v>10504.707337</v>
      </c>
      <c r="AK250" s="8">
        <f t="shared" si="15"/>
        <v>539.13733700000012</v>
      </c>
    </row>
    <row r="251" spans="1:37" x14ac:dyDescent="0.3">
      <c r="A251" s="1">
        <v>264</v>
      </c>
      <c r="B251" s="2" t="s">
        <v>1755</v>
      </c>
      <c r="C251" s="2" t="s">
        <v>100</v>
      </c>
      <c r="D251" s="2" t="s">
        <v>101</v>
      </c>
      <c r="E251" s="1">
        <v>1</v>
      </c>
      <c r="F251" s="2" t="s">
        <v>1756</v>
      </c>
      <c r="G251" s="2" t="s">
        <v>1659</v>
      </c>
      <c r="H251" s="2" t="s">
        <v>31</v>
      </c>
      <c r="I251" s="2" t="s">
        <v>32</v>
      </c>
      <c r="J251" s="2" t="s">
        <v>1757</v>
      </c>
      <c r="K251" s="10" t="s">
        <v>2836</v>
      </c>
      <c r="L251" s="2" t="s">
        <v>1758</v>
      </c>
      <c r="M251" s="2" t="s">
        <v>1759</v>
      </c>
      <c r="N251" s="2" t="s">
        <v>31</v>
      </c>
      <c r="O251" s="2" t="s">
        <v>31</v>
      </c>
      <c r="P251" s="2" t="s">
        <v>1760</v>
      </c>
      <c r="Q251" s="2" t="s">
        <v>59</v>
      </c>
      <c r="R251" s="2" t="s">
        <v>48</v>
      </c>
      <c r="S251" s="2" t="s">
        <v>31</v>
      </c>
      <c r="T251" s="2" t="s">
        <v>60</v>
      </c>
      <c r="U251" s="2">
        <v>0</v>
      </c>
      <c r="V251" s="10">
        <v>1915</v>
      </c>
      <c r="W251" s="10">
        <v>941</v>
      </c>
      <c r="X251" s="11">
        <v>0</v>
      </c>
      <c r="Y251" s="11">
        <v>1</v>
      </c>
      <c r="Z251" s="2" t="s">
        <v>31</v>
      </c>
      <c r="AA251" s="2" t="s">
        <v>1761</v>
      </c>
      <c r="AB251" s="3">
        <v>40869</v>
      </c>
      <c r="AC251" s="2">
        <v>459000</v>
      </c>
      <c r="AD251" s="2" t="s">
        <v>39</v>
      </c>
      <c r="AE251" s="2">
        <v>2.8</v>
      </c>
      <c r="AF251" s="4">
        <v>730000</v>
      </c>
      <c r="AG251" s="8">
        <v>7475.2</v>
      </c>
      <c r="AH251" s="8">
        <f t="shared" si="12"/>
        <v>8036.5875199999991</v>
      </c>
      <c r="AI251" s="8">
        <f t="shared" si="13"/>
        <v>561.38751999999931</v>
      </c>
      <c r="AJ251" s="8">
        <f t="shared" si="14"/>
        <v>7879.6083200000003</v>
      </c>
      <c r="AK251" s="8">
        <f t="shared" si="15"/>
        <v>404.40832000000046</v>
      </c>
    </row>
    <row r="252" spans="1:37" x14ac:dyDescent="0.3">
      <c r="A252" s="1">
        <v>265</v>
      </c>
      <c r="B252" s="2" t="s">
        <v>1762</v>
      </c>
      <c r="C252" s="2" t="s">
        <v>100</v>
      </c>
      <c r="D252" s="2" t="s">
        <v>101</v>
      </c>
      <c r="E252" s="1">
        <v>1</v>
      </c>
      <c r="F252" s="2" t="s">
        <v>1763</v>
      </c>
      <c r="G252" s="2" t="s">
        <v>1659</v>
      </c>
      <c r="H252" s="2" t="s">
        <v>31</v>
      </c>
      <c r="I252" s="2" t="s">
        <v>32</v>
      </c>
      <c r="J252" s="2" t="s">
        <v>1764</v>
      </c>
      <c r="K252" s="10" t="s">
        <v>2836</v>
      </c>
      <c r="L252" s="2" t="s">
        <v>1765</v>
      </c>
      <c r="M252" s="2" t="s">
        <v>1766</v>
      </c>
      <c r="N252" s="2" t="s">
        <v>31</v>
      </c>
      <c r="O252" s="2" t="s">
        <v>31</v>
      </c>
      <c r="P252" s="2" t="s">
        <v>1767</v>
      </c>
      <c r="Q252" s="2" t="s">
        <v>59</v>
      </c>
      <c r="R252" s="2" t="s">
        <v>48</v>
      </c>
      <c r="S252" s="2" t="s">
        <v>31</v>
      </c>
      <c r="T252" s="2" t="s">
        <v>60</v>
      </c>
      <c r="U252" s="2">
        <v>0</v>
      </c>
      <c r="V252" s="10">
        <v>1915</v>
      </c>
      <c r="W252" s="10">
        <v>756</v>
      </c>
      <c r="X252" s="11">
        <v>0</v>
      </c>
      <c r="Y252" s="11">
        <v>1</v>
      </c>
      <c r="Z252" s="2" t="s">
        <v>31</v>
      </c>
      <c r="AA252" s="2" t="s">
        <v>1768</v>
      </c>
      <c r="AB252" s="3">
        <v>44435</v>
      </c>
      <c r="AC252" s="2">
        <v>585000</v>
      </c>
      <c r="AD252" s="2" t="s">
        <v>39</v>
      </c>
      <c r="AE252" s="2">
        <v>2.58</v>
      </c>
      <c r="AF252" s="4">
        <v>575200</v>
      </c>
      <c r="AG252" s="8">
        <v>5890.05</v>
      </c>
      <c r="AH252" s="8">
        <f t="shared" si="12"/>
        <v>6332.3927549999999</v>
      </c>
      <c r="AI252" s="8">
        <f t="shared" si="13"/>
        <v>442.34275499999967</v>
      </c>
      <c r="AJ252" s="8">
        <f t="shared" si="14"/>
        <v>6208.7017050000004</v>
      </c>
      <c r="AK252" s="8">
        <f t="shared" si="15"/>
        <v>318.65170500000022</v>
      </c>
    </row>
    <row r="253" spans="1:37" x14ac:dyDescent="0.3">
      <c r="A253" s="1">
        <v>266</v>
      </c>
      <c r="B253" s="2" t="s">
        <v>1769</v>
      </c>
      <c r="C253" s="2" t="s">
        <v>100</v>
      </c>
      <c r="D253" s="2" t="s">
        <v>101</v>
      </c>
      <c r="E253" s="1">
        <v>1</v>
      </c>
      <c r="F253" s="2" t="s">
        <v>1770</v>
      </c>
      <c r="G253" s="2" t="s">
        <v>1659</v>
      </c>
      <c r="H253" s="2" t="s">
        <v>31</v>
      </c>
      <c r="I253" s="2" t="s">
        <v>32</v>
      </c>
      <c r="J253" s="2" t="s">
        <v>1771</v>
      </c>
      <c r="K253" s="10" t="s">
        <v>2836</v>
      </c>
      <c r="L253" s="2" t="s">
        <v>1772</v>
      </c>
      <c r="M253" s="2" t="s">
        <v>1773</v>
      </c>
      <c r="N253" s="2" t="s">
        <v>31</v>
      </c>
      <c r="O253" s="2" t="s">
        <v>31</v>
      </c>
      <c r="P253" s="2" t="s">
        <v>1774</v>
      </c>
      <c r="Q253" s="2" t="s">
        <v>59</v>
      </c>
      <c r="R253" s="2" t="s">
        <v>48</v>
      </c>
      <c r="S253" s="2" t="s">
        <v>31</v>
      </c>
      <c r="T253" s="2" t="s">
        <v>60</v>
      </c>
      <c r="U253" s="2">
        <v>0</v>
      </c>
      <c r="V253" s="10">
        <v>1915</v>
      </c>
      <c r="W253" s="10">
        <v>1046</v>
      </c>
      <c r="X253" s="11">
        <v>0</v>
      </c>
      <c r="Y253" s="11">
        <v>1</v>
      </c>
      <c r="Z253" s="2" t="s">
        <v>31</v>
      </c>
      <c r="AA253" s="2" t="s">
        <v>1775</v>
      </c>
      <c r="AB253" s="3">
        <v>39948</v>
      </c>
      <c r="AC253" s="2">
        <v>415000</v>
      </c>
      <c r="AD253" s="2" t="s">
        <v>107</v>
      </c>
      <c r="AE253" s="2">
        <v>3.21</v>
      </c>
      <c r="AF253" s="4">
        <v>809900</v>
      </c>
      <c r="AG253" s="8">
        <v>4658.4399999999996</v>
      </c>
      <c r="AH253" s="8">
        <f t="shared" si="12"/>
        <v>5008.2888439999997</v>
      </c>
      <c r="AI253" s="8">
        <f t="shared" si="13"/>
        <v>349.8488440000001</v>
      </c>
      <c r="AJ253" s="8">
        <f t="shared" si="14"/>
        <v>4910.4616040000001</v>
      </c>
      <c r="AK253" s="8">
        <f t="shared" si="15"/>
        <v>252.02160400000048</v>
      </c>
    </row>
    <row r="254" spans="1:37" x14ac:dyDescent="0.3">
      <c r="A254" s="1">
        <v>267</v>
      </c>
      <c r="B254" s="2" t="s">
        <v>1776</v>
      </c>
      <c r="C254" s="2" t="s">
        <v>100</v>
      </c>
      <c r="D254" s="2" t="s">
        <v>101</v>
      </c>
      <c r="E254" s="1">
        <v>1</v>
      </c>
      <c r="F254" s="2" t="s">
        <v>1777</v>
      </c>
      <c r="G254" s="2" t="s">
        <v>1659</v>
      </c>
      <c r="H254" s="2" t="s">
        <v>31</v>
      </c>
      <c r="I254" s="2" t="s">
        <v>32</v>
      </c>
      <c r="J254" s="2" t="s">
        <v>1778</v>
      </c>
      <c r="K254" s="10" t="s">
        <v>2836</v>
      </c>
      <c r="L254" s="2" t="s">
        <v>1779</v>
      </c>
      <c r="M254" s="2" t="s">
        <v>1780</v>
      </c>
      <c r="N254" s="2" t="s">
        <v>31</v>
      </c>
      <c r="O254" s="2" t="s">
        <v>31</v>
      </c>
      <c r="P254" s="2" t="s">
        <v>1781</v>
      </c>
      <c r="Q254" s="2" t="s">
        <v>59</v>
      </c>
      <c r="R254" s="2" t="s">
        <v>48</v>
      </c>
      <c r="S254" s="2" t="s">
        <v>31</v>
      </c>
      <c r="T254" s="2" t="s">
        <v>60</v>
      </c>
      <c r="U254" s="2">
        <v>0</v>
      </c>
      <c r="V254" s="10">
        <v>1915</v>
      </c>
      <c r="W254" s="10">
        <v>1086</v>
      </c>
      <c r="X254" s="11">
        <v>0</v>
      </c>
      <c r="Y254" s="11">
        <v>1</v>
      </c>
      <c r="Z254" s="2" t="s">
        <v>31</v>
      </c>
      <c r="AA254" s="2" t="s">
        <v>1782</v>
      </c>
      <c r="AB254" s="3">
        <v>44424</v>
      </c>
      <c r="AC254" s="2">
        <v>825000</v>
      </c>
      <c r="AD254" s="2" t="s">
        <v>107</v>
      </c>
      <c r="AE254" s="2">
        <v>3.3</v>
      </c>
      <c r="AF254" s="4">
        <v>819000</v>
      </c>
      <c r="AG254" s="8">
        <v>4751.63</v>
      </c>
      <c r="AH254" s="8">
        <f t="shared" si="12"/>
        <v>5108.4774129999996</v>
      </c>
      <c r="AI254" s="8">
        <f t="shared" si="13"/>
        <v>356.84741299999951</v>
      </c>
      <c r="AJ254" s="8">
        <f t="shared" si="14"/>
        <v>5008.6931830000003</v>
      </c>
      <c r="AK254" s="8">
        <f t="shared" si="15"/>
        <v>257.06318300000021</v>
      </c>
    </row>
    <row r="255" spans="1:37" x14ac:dyDescent="0.3">
      <c r="A255" s="1">
        <v>268</v>
      </c>
      <c r="B255" s="2" t="s">
        <v>1783</v>
      </c>
      <c r="C255" s="2" t="s">
        <v>100</v>
      </c>
      <c r="D255" s="2" t="s">
        <v>101</v>
      </c>
      <c r="E255" s="1">
        <v>1</v>
      </c>
      <c r="F255" s="2" t="s">
        <v>1784</v>
      </c>
      <c r="G255" s="2" t="s">
        <v>1659</v>
      </c>
      <c r="H255" s="2" t="s">
        <v>31</v>
      </c>
      <c r="I255" s="2" t="s">
        <v>32</v>
      </c>
      <c r="J255" s="2" t="s">
        <v>1785</v>
      </c>
      <c r="K255" s="10" t="s">
        <v>2836</v>
      </c>
      <c r="L255" s="2" t="s">
        <v>1786</v>
      </c>
      <c r="M255" s="2" t="s">
        <v>1787</v>
      </c>
      <c r="N255" s="2" t="s">
        <v>1788</v>
      </c>
      <c r="O255" s="2" t="s">
        <v>1789</v>
      </c>
      <c r="P255" s="2" t="s">
        <v>1790</v>
      </c>
      <c r="Q255" s="2" t="s">
        <v>59</v>
      </c>
      <c r="R255" s="2" t="s">
        <v>48</v>
      </c>
      <c r="S255" s="2" t="s">
        <v>31</v>
      </c>
      <c r="T255" s="2" t="s">
        <v>60</v>
      </c>
      <c r="U255" s="2">
        <v>0</v>
      </c>
      <c r="V255" s="10">
        <v>1915</v>
      </c>
      <c r="W255" s="10">
        <v>1461</v>
      </c>
      <c r="X255" s="11">
        <v>0</v>
      </c>
      <c r="Y255" s="11">
        <v>1</v>
      </c>
      <c r="Z255" s="2" t="s">
        <v>31</v>
      </c>
      <c r="AA255" s="2" t="s">
        <v>1791</v>
      </c>
      <c r="AB255" s="3">
        <v>42230</v>
      </c>
      <c r="AC255" s="2">
        <v>815000</v>
      </c>
      <c r="AD255" s="2" t="s">
        <v>107</v>
      </c>
      <c r="AE255" s="2">
        <v>4.03</v>
      </c>
      <c r="AF255" s="4">
        <v>1040700</v>
      </c>
      <c r="AG255" s="8">
        <v>7021.83</v>
      </c>
      <c r="AH255" s="8">
        <f t="shared" si="12"/>
        <v>7549.1694329999991</v>
      </c>
      <c r="AI255" s="8">
        <f t="shared" si="13"/>
        <v>527.33943299999919</v>
      </c>
      <c r="AJ255" s="8">
        <f t="shared" si="14"/>
        <v>7401.7110030000003</v>
      </c>
      <c r="AK255" s="8">
        <f t="shared" si="15"/>
        <v>379.88100300000042</v>
      </c>
    </row>
    <row r="256" spans="1:37" x14ac:dyDescent="0.3">
      <c r="A256" s="1">
        <v>269</v>
      </c>
      <c r="B256" s="2" t="s">
        <v>1792</v>
      </c>
      <c r="C256" s="2" t="s">
        <v>100</v>
      </c>
      <c r="D256" s="2" t="s">
        <v>101</v>
      </c>
      <c r="E256" s="1">
        <v>1</v>
      </c>
      <c r="F256" s="2" t="s">
        <v>1793</v>
      </c>
      <c r="G256" s="2" t="s">
        <v>1659</v>
      </c>
      <c r="H256" s="2" t="s">
        <v>31</v>
      </c>
      <c r="I256" s="2" t="s">
        <v>32</v>
      </c>
      <c r="J256" s="2" t="s">
        <v>1794</v>
      </c>
      <c r="K256" s="10" t="s">
        <v>2836</v>
      </c>
      <c r="L256" s="2" t="s">
        <v>1795</v>
      </c>
      <c r="M256" s="2" t="s">
        <v>1796</v>
      </c>
      <c r="N256" s="2" t="s">
        <v>31</v>
      </c>
      <c r="O256" s="2" t="s">
        <v>31</v>
      </c>
      <c r="P256" s="2" t="s">
        <v>1797</v>
      </c>
      <c r="Q256" s="2" t="s">
        <v>59</v>
      </c>
      <c r="R256" s="2" t="s">
        <v>48</v>
      </c>
      <c r="S256" s="2" t="s">
        <v>31</v>
      </c>
      <c r="T256" s="2" t="s">
        <v>60</v>
      </c>
      <c r="U256" s="2">
        <v>0</v>
      </c>
      <c r="V256" s="10">
        <v>1915</v>
      </c>
      <c r="W256" s="10">
        <v>958</v>
      </c>
      <c r="X256" s="11">
        <v>0</v>
      </c>
      <c r="Y256" s="11">
        <v>1</v>
      </c>
      <c r="Z256" s="2" t="s">
        <v>31</v>
      </c>
      <c r="AA256" s="2" t="s">
        <v>1798</v>
      </c>
      <c r="AB256" s="3">
        <v>44088</v>
      </c>
      <c r="AC256" s="2">
        <v>664000</v>
      </c>
      <c r="AD256" s="2" t="s">
        <v>107</v>
      </c>
      <c r="AE256" s="2">
        <v>2.85</v>
      </c>
      <c r="AF256" s="4">
        <v>729100</v>
      </c>
      <c r="AG256" s="8">
        <v>3831.05</v>
      </c>
      <c r="AH256" s="8">
        <f t="shared" si="12"/>
        <v>4118.7618549999997</v>
      </c>
      <c r="AI256" s="8">
        <f t="shared" si="13"/>
        <v>287.71185499999956</v>
      </c>
      <c r="AJ256" s="8">
        <f t="shared" si="14"/>
        <v>4038.3098050000003</v>
      </c>
      <c r="AK256" s="8">
        <f t="shared" si="15"/>
        <v>207.25980500000014</v>
      </c>
    </row>
    <row r="257" spans="1:37" x14ac:dyDescent="0.3">
      <c r="A257" s="1">
        <v>270</v>
      </c>
      <c r="B257" s="2" t="s">
        <v>1799</v>
      </c>
      <c r="C257" s="2" t="s">
        <v>100</v>
      </c>
      <c r="D257" s="2" t="s">
        <v>101</v>
      </c>
      <c r="E257" s="1">
        <v>1</v>
      </c>
      <c r="F257" s="2" t="s">
        <v>1800</v>
      </c>
      <c r="G257" s="2" t="s">
        <v>1659</v>
      </c>
      <c r="H257" s="2" t="s">
        <v>31</v>
      </c>
      <c r="I257" s="2" t="s">
        <v>32</v>
      </c>
      <c r="J257" s="2" t="s">
        <v>1801</v>
      </c>
      <c r="K257" s="10" t="s">
        <v>2836</v>
      </c>
      <c r="L257" s="2" t="s">
        <v>1802</v>
      </c>
      <c r="M257" s="2" t="s">
        <v>1803</v>
      </c>
      <c r="N257" s="2" t="s">
        <v>31</v>
      </c>
      <c r="O257" s="2" t="s">
        <v>31</v>
      </c>
      <c r="P257" s="2" t="s">
        <v>1804</v>
      </c>
      <c r="Q257" s="2" t="s">
        <v>1805</v>
      </c>
      <c r="R257" s="2" t="s">
        <v>48</v>
      </c>
      <c r="S257" s="2" t="s">
        <v>31</v>
      </c>
      <c r="T257" s="2" t="s">
        <v>1806</v>
      </c>
      <c r="U257" s="2">
        <v>0</v>
      </c>
      <c r="V257" s="10">
        <v>1915</v>
      </c>
      <c r="W257" s="10">
        <v>761</v>
      </c>
      <c r="X257" s="11">
        <v>0</v>
      </c>
      <c r="Y257" s="11">
        <v>1</v>
      </c>
      <c r="Z257" s="2" t="s">
        <v>31</v>
      </c>
      <c r="AA257" s="2" t="s">
        <v>1807</v>
      </c>
      <c r="AB257" s="3">
        <v>33415</v>
      </c>
      <c r="AC257" s="2">
        <v>1</v>
      </c>
      <c r="AD257" s="2" t="s">
        <v>39</v>
      </c>
      <c r="AE257" s="2">
        <v>2.63</v>
      </c>
      <c r="AF257" s="4">
        <v>556600</v>
      </c>
      <c r="AG257" s="8">
        <v>5699.58</v>
      </c>
      <c r="AH257" s="8">
        <f t="shared" si="12"/>
        <v>6127.6184579999999</v>
      </c>
      <c r="AI257" s="8">
        <f t="shared" si="13"/>
        <v>428.03845799999999</v>
      </c>
      <c r="AJ257" s="8">
        <f t="shared" si="14"/>
        <v>6007.9272780000001</v>
      </c>
      <c r="AK257" s="8">
        <f t="shared" si="15"/>
        <v>308.34727800000019</v>
      </c>
    </row>
    <row r="258" spans="1:37" x14ac:dyDescent="0.3">
      <c r="A258" s="1">
        <v>271</v>
      </c>
      <c r="B258" s="2" t="s">
        <v>1808</v>
      </c>
      <c r="C258" s="2" t="s">
        <v>100</v>
      </c>
      <c r="D258" s="2" t="s">
        <v>101</v>
      </c>
      <c r="E258" s="1">
        <v>1</v>
      </c>
      <c r="F258" s="2" t="s">
        <v>1809</v>
      </c>
      <c r="G258" s="2" t="s">
        <v>1659</v>
      </c>
      <c r="H258" s="2" t="s">
        <v>31</v>
      </c>
      <c r="I258" s="2" t="s">
        <v>32</v>
      </c>
      <c r="J258" s="2" t="s">
        <v>1810</v>
      </c>
      <c r="K258" s="10" t="s">
        <v>2836</v>
      </c>
      <c r="L258" s="2" t="s">
        <v>1811</v>
      </c>
      <c r="M258" s="2" t="s">
        <v>375</v>
      </c>
      <c r="N258" s="2" t="s">
        <v>31</v>
      </c>
      <c r="O258" s="2" t="s">
        <v>31</v>
      </c>
      <c r="P258" s="2" t="s">
        <v>1812</v>
      </c>
      <c r="Q258" s="2" t="s">
        <v>59</v>
      </c>
      <c r="R258" s="2" t="s">
        <v>48</v>
      </c>
      <c r="S258" s="2" t="s">
        <v>31</v>
      </c>
      <c r="T258" s="2" t="s">
        <v>60</v>
      </c>
      <c r="U258" s="2">
        <v>0</v>
      </c>
      <c r="V258" s="10">
        <v>1915</v>
      </c>
      <c r="W258" s="10">
        <v>1071</v>
      </c>
      <c r="X258" s="11">
        <v>0</v>
      </c>
      <c r="Y258" s="11">
        <v>1</v>
      </c>
      <c r="Z258" s="2" t="s">
        <v>31</v>
      </c>
      <c r="AA258" s="2" t="s">
        <v>1813</v>
      </c>
      <c r="AB258" s="3">
        <v>34456</v>
      </c>
      <c r="AC258" s="2">
        <v>150500</v>
      </c>
      <c r="AD258" s="2" t="s">
        <v>107</v>
      </c>
      <c r="AE258" s="2">
        <v>3.26</v>
      </c>
      <c r="AF258" s="4">
        <v>789800</v>
      </c>
      <c r="AG258" s="8">
        <v>4452.62</v>
      </c>
      <c r="AH258" s="8">
        <f t="shared" si="12"/>
        <v>4787.0117620000001</v>
      </c>
      <c r="AI258" s="8">
        <f t="shared" si="13"/>
        <v>334.3917620000002</v>
      </c>
      <c r="AJ258" s="8">
        <f t="shared" si="14"/>
        <v>4693.5067420000005</v>
      </c>
      <c r="AK258" s="8">
        <f t="shared" si="15"/>
        <v>240.88674200000059</v>
      </c>
    </row>
    <row r="259" spans="1:37" x14ac:dyDescent="0.3">
      <c r="A259" s="1">
        <v>272</v>
      </c>
      <c r="B259" s="2" t="s">
        <v>1814</v>
      </c>
      <c r="C259" s="2" t="s">
        <v>100</v>
      </c>
      <c r="D259" s="2" t="s">
        <v>101</v>
      </c>
      <c r="E259" s="1">
        <v>1</v>
      </c>
      <c r="F259" s="2" t="s">
        <v>1815</v>
      </c>
      <c r="G259" s="2" t="s">
        <v>1659</v>
      </c>
      <c r="H259" s="2" t="s">
        <v>31</v>
      </c>
      <c r="I259" s="2" t="s">
        <v>32</v>
      </c>
      <c r="J259" s="2" t="s">
        <v>1816</v>
      </c>
      <c r="K259" s="10" t="s">
        <v>2836</v>
      </c>
      <c r="L259" s="2" t="s">
        <v>1817</v>
      </c>
      <c r="M259" s="2" t="s">
        <v>1818</v>
      </c>
      <c r="N259" s="2" t="s">
        <v>31</v>
      </c>
      <c r="O259" s="2" t="s">
        <v>31</v>
      </c>
      <c r="P259" s="2" t="s">
        <v>1819</v>
      </c>
      <c r="Q259" s="2" t="s">
        <v>59</v>
      </c>
      <c r="R259" s="2" t="s">
        <v>48</v>
      </c>
      <c r="S259" s="2" t="s">
        <v>31</v>
      </c>
      <c r="T259" s="2" t="s">
        <v>60</v>
      </c>
      <c r="U259" s="2">
        <v>0</v>
      </c>
      <c r="V259" s="10">
        <v>1915</v>
      </c>
      <c r="W259" s="10">
        <v>1086</v>
      </c>
      <c r="X259" s="11">
        <v>0</v>
      </c>
      <c r="Y259" s="11">
        <v>1</v>
      </c>
      <c r="Z259" s="2" t="s">
        <v>31</v>
      </c>
      <c r="AA259" s="2" t="s">
        <v>1820</v>
      </c>
      <c r="AB259" s="3">
        <v>43980</v>
      </c>
      <c r="AC259" s="2">
        <v>787500</v>
      </c>
      <c r="AD259" s="2" t="s">
        <v>39</v>
      </c>
      <c r="AE259" s="2">
        <v>3.35</v>
      </c>
      <c r="AF259" s="4">
        <v>831800</v>
      </c>
      <c r="AG259" s="8">
        <v>8517.6299999999992</v>
      </c>
      <c r="AH259" s="8">
        <f t="shared" ref="AH259:AH322" si="16">AG259*1.0751</f>
        <v>9157.304012999999</v>
      </c>
      <c r="AI259" s="8">
        <f t="shared" ref="AI259:AI322" si="17">AH259-AG259</f>
        <v>639.67401299999983</v>
      </c>
      <c r="AJ259" s="8">
        <f t="shared" ref="AJ259:AJ322" si="18">AG259*1.0541</f>
        <v>8978.4337829999986</v>
      </c>
      <c r="AK259" s="8">
        <f t="shared" ref="AK259:AK322" si="19">AJ259-AG259</f>
        <v>460.80378299999938</v>
      </c>
    </row>
    <row r="260" spans="1:37" x14ac:dyDescent="0.3">
      <c r="A260" s="1">
        <v>273</v>
      </c>
      <c r="B260" s="2" t="s">
        <v>1821</v>
      </c>
      <c r="C260" s="2" t="s">
        <v>100</v>
      </c>
      <c r="D260" s="2" t="s">
        <v>101</v>
      </c>
      <c r="E260" s="1">
        <v>1</v>
      </c>
      <c r="F260" s="2" t="s">
        <v>1822</v>
      </c>
      <c r="G260" s="2" t="s">
        <v>1659</v>
      </c>
      <c r="H260" s="2" t="s">
        <v>31</v>
      </c>
      <c r="I260" s="2" t="s">
        <v>32</v>
      </c>
      <c r="J260" s="2" t="s">
        <v>1823</v>
      </c>
      <c r="K260" s="10" t="s">
        <v>2836</v>
      </c>
      <c r="L260" s="2" t="s">
        <v>1824</v>
      </c>
      <c r="M260" s="2" t="s">
        <v>1825</v>
      </c>
      <c r="N260" s="2" t="s">
        <v>31</v>
      </c>
      <c r="O260" s="2" t="s">
        <v>31</v>
      </c>
      <c r="P260" s="2" t="s">
        <v>1826</v>
      </c>
      <c r="Q260" s="2" t="s">
        <v>59</v>
      </c>
      <c r="R260" s="2" t="s">
        <v>48</v>
      </c>
      <c r="S260" s="2" t="s">
        <v>31</v>
      </c>
      <c r="T260" s="2" t="s">
        <v>60</v>
      </c>
      <c r="U260" s="2">
        <v>0</v>
      </c>
      <c r="V260" s="10">
        <v>1915</v>
      </c>
      <c r="W260" s="10">
        <v>1461</v>
      </c>
      <c r="X260" s="11">
        <v>0</v>
      </c>
      <c r="Y260" s="11">
        <v>1</v>
      </c>
      <c r="Z260" s="2" t="s">
        <v>31</v>
      </c>
      <c r="AA260" s="2" t="s">
        <v>1827</v>
      </c>
      <c r="AB260" s="3">
        <v>37537</v>
      </c>
      <c r="AC260" s="2">
        <v>625000</v>
      </c>
      <c r="AD260" s="2" t="s">
        <v>107</v>
      </c>
      <c r="AE260" s="2">
        <v>4.07</v>
      </c>
      <c r="AF260" s="4">
        <v>1039500</v>
      </c>
      <c r="AG260" s="8">
        <v>7009.55</v>
      </c>
      <c r="AH260" s="8">
        <f t="shared" si="16"/>
        <v>7535.9672049999999</v>
      </c>
      <c r="AI260" s="8">
        <f t="shared" si="17"/>
        <v>526.41720499999974</v>
      </c>
      <c r="AJ260" s="8">
        <f t="shared" si="18"/>
        <v>7388.7666550000004</v>
      </c>
      <c r="AK260" s="8">
        <f t="shared" si="19"/>
        <v>379.21665500000017</v>
      </c>
    </row>
    <row r="261" spans="1:37" x14ac:dyDescent="0.3">
      <c r="A261" s="1">
        <v>274</v>
      </c>
      <c r="B261" s="2" t="s">
        <v>1828</v>
      </c>
      <c r="C261" s="2" t="s">
        <v>100</v>
      </c>
      <c r="D261" s="2" t="s">
        <v>101</v>
      </c>
      <c r="E261" s="1">
        <v>1</v>
      </c>
      <c r="F261" s="2" t="s">
        <v>1829</v>
      </c>
      <c r="G261" s="2" t="s">
        <v>1659</v>
      </c>
      <c r="H261" s="2" t="s">
        <v>31</v>
      </c>
      <c r="I261" s="2" t="s">
        <v>32</v>
      </c>
      <c r="J261" s="2" t="s">
        <v>1830</v>
      </c>
      <c r="K261" s="10" t="s">
        <v>2836</v>
      </c>
      <c r="L261" s="2" t="s">
        <v>1831</v>
      </c>
      <c r="M261" s="2" t="s">
        <v>1832</v>
      </c>
      <c r="N261" s="2" t="s">
        <v>31</v>
      </c>
      <c r="O261" s="2" t="s">
        <v>31</v>
      </c>
      <c r="P261" s="2" t="s">
        <v>1833</v>
      </c>
      <c r="Q261" s="2" t="s">
        <v>1834</v>
      </c>
      <c r="R261" s="2" t="s">
        <v>1835</v>
      </c>
      <c r="S261" s="2" t="s">
        <v>888</v>
      </c>
      <c r="T261" s="2" t="s">
        <v>1836</v>
      </c>
      <c r="U261" s="2">
        <v>0</v>
      </c>
      <c r="V261" s="10">
        <v>1915</v>
      </c>
      <c r="W261" s="10">
        <v>958</v>
      </c>
      <c r="X261" s="11">
        <v>0</v>
      </c>
      <c r="Y261" s="11">
        <v>1</v>
      </c>
      <c r="Z261" s="2" t="s">
        <v>31</v>
      </c>
      <c r="AA261" s="2" t="s">
        <v>1837</v>
      </c>
      <c r="AB261" s="3">
        <v>45467</v>
      </c>
      <c r="AC261" s="2">
        <v>1</v>
      </c>
      <c r="AD261" s="2" t="s">
        <v>39</v>
      </c>
      <c r="AE261" s="2">
        <v>2.9</v>
      </c>
      <c r="AF261" s="4">
        <v>761200</v>
      </c>
      <c r="AG261" s="8">
        <v>7794.69</v>
      </c>
      <c r="AH261" s="8">
        <f t="shared" si="16"/>
        <v>8380.0712189999995</v>
      </c>
      <c r="AI261" s="8">
        <f t="shared" si="17"/>
        <v>585.38121899999987</v>
      </c>
      <c r="AJ261" s="8">
        <f t="shared" si="18"/>
        <v>8216.382728999999</v>
      </c>
      <c r="AK261" s="8">
        <f t="shared" si="19"/>
        <v>421.69272899999942</v>
      </c>
    </row>
    <row r="262" spans="1:37" x14ac:dyDescent="0.3">
      <c r="A262" s="1">
        <v>275</v>
      </c>
      <c r="B262" s="2" t="s">
        <v>1838</v>
      </c>
      <c r="C262" s="2" t="s">
        <v>100</v>
      </c>
      <c r="D262" s="2" t="s">
        <v>101</v>
      </c>
      <c r="E262" s="1">
        <v>1</v>
      </c>
      <c r="F262" s="2" t="s">
        <v>1839</v>
      </c>
      <c r="G262" s="2" t="s">
        <v>1659</v>
      </c>
      <c r="H262" s="2" t="s">
        <v>31</v>
      </c>
      <c r="I262" s="2" t="s">
        <v>32</v>
      </c>
      <c r="J262" s="2" t="s">
        <v>1840</v>
      </c>
      <c r="K262" s="10" t="s">
        <v>2836</v>
      </c>
      <c r="L262" s="2" t="s">
        <v>1841</v>
      </c>
      <c r="M262" s="2" t="s">
        <v>1842</v>
      </c>
      <c r="N262" s="2" t="s">
        <v>31</v>
      </c>
      <c r="O262" s="2" t="s">
        <v>31</v>
      </c>
      <c r="P262" s="2" t="s">
        <v>1843</v>
      </c>
      <c r="Q262" s="2" t="s">
        <v>59</v>
      </c>
      <c r="R262" s="2" t="s">
        <v>48</v>
      </c>
      <c r="S262" s="2" t="s">
        <v>31</v>
      </c>
      <c r="T262" s="2" t="s">
        <v>60</v>
      </c>
      <c r="U262" s="2">
        <v>0</v>
      </c>
      <c r="V262" s="10">
        <v>1915</v>
      </c>
      <c r="W262" s="10">
        <v>761</v>
      </c>
      <c r="X262" s="11">
        <v>0</v>
      </c>
      <c r="Y262" s="11">
        <v>1</v>
      </c>
      <c r="Z262" s="2" t="s">
        <v>31</v>
      </c>
      <c r="AA262" s="2" t="s">
        <v>1844</v>
      </c>
      <c r="AB262" s="3">
        <v>45792</v>
      </c>
      <c r="AC262" s="2">
        <v>778000</v>
      </c>
      <c r="AD262" s="2" t="s">
        <v>107</v>
      </c>
      <c r="AE262" s="2">
        <v>2.67</v>
      </c>
      <c r="AF262" s="4">
        <v>703700</v>
      </c>
      <c r="AG262" s="8">
        <v>3570.95</v>
      </c>
      <c r="AH262" s="8">
        <f t="shared" si="16"/>
        <v>3839.1283449999996</v>
      </c>
      <c r="AI262" s="8">
        <f t="shared" si="17"/>
        <v>268.17834499999981</v>
      </c>
      <c r="AJ262" s="8">
        <f t="shared" si="18"/>
        <v>3764.1383949999999</v>
      </c>
      <c r="AK262" s="8">
        <f t="shared" si="19"/>
        <v>193.18839500000013</v>
      </c>
    </row>
    <row r="263" spans="1:37" x14ac:dyDescent="0.3">
      <c r="A263" s="1">
        <v>276</v>
      </c>
      <c r="B263" s="2" t="s">
        <v>1845</v>
      </c>
      <c r="C263" s="2" t="s">
        <v>100</v>
      </c>
      <c r="D263" s="2" t="s">
        <v>101</v>
      </c>
      <c r="E263" s="1">
        <v>1</v>
      </c>
      <c r="F263" s="2" t="s">
        <v>1846</v>
      </c>
      <c r="G263" s="2" t="s">
        <v>1659</v>
      </c>
      <c r="H263" s="2" t="s">
        <v>31</v>
      </c>
      <c r="I263" s="2" t="s">
        <v>32</v>
      </c>
      <c r="J263" s="2" t="s">
        <v>1847</v>
      </c>
      <c r="K263" s="10" t="s">
        <v>2836</v>
      </c>
      <c r="L263" s="2" t="s">
        <v>1848</v>
      </c>
      <c r="M263" s="2" t="s">
        <v>1849</v>
      </c>
      <c r="N263" s="2" t="s">
        <v>31</v>
      </c>
      <c r="O263" s="2" t="s">
        <v>31</v>
      </c>
      <c r="P263" s="2" t="s">
        <v>1850</v>
      </c>
      <c r="Q263" s="2" t="s">
        <v>59</v>
      </c>
      <c r="R263" s="2" t="s">
        <v>48</v>
      </c>
      <c r="S263" s="2" t="s">
        <v>31</v>
      </c>
      <c r="T263" s="2" t="s">
        <v>60</v>
      </c>
      <c r="U263" s="2">
        <v>0</v>
      </c>
      <c r="V263" s="10">
        <v>1915</v>
      </c>
      <c r="W263" s="10">
        <v>1071</v>
      </c>
      <c r="X263" s="11">
        <v>0</v>
      </c>
      <c r="Y263" s="11">
        <v>1</v>
      </c>
      <c r="Z263" s="2" t="s">
        <v>31</v>
      </c>
      <c r="AA263" s="2" t="s">
        <v>1851</v>
      </c>
      <c r="AB263" s="3">
        <v>44911</v>
      </c>
      <c r="AC263" s="2">
        <v>755000</v>
      </c>
      <c r="AD263" s="2" t="s">
        <v>39</v>
      </c>
      <c r="AE263" s="2">
        <v>3.3</v>
      </c>
      <c r="AF263" s="4">
        <v>811500</v>
      </c>
      <c r="AG263" s="8">
        <v>8309.76</v>
      </c>
      <c r="AH263" s="8">
        <f t="shared" si="16"/>
        <v>8933.8229759999995</v>
      </c>
      <c r="AI263" s="8">
        <f t="shared" si="17"/>
        <v>624.06297599999925</v>
      </c>
      <c r="AJ263" s="8">
        <f t="shared" si="18"/>
        <v>8759.3180160000011</v>
      </c>
      <c r="AK263" s="8">
        <f t="shared" si="19"/>
        <v>449.55801600000086</v>
      </c>
    </row>
    <row r="264" spans="1:37" x14ac:dyDescent="0.3">
      <c r="A264" s="1">
        <v>277</v>
      </c>
      <c r="B264" s="2" t="s">
        <v>1852</v>
      </c>
      <c r="C264" s="2" t="s">
        <v>100</v>
      </c>
      <c r="D264" s="2" t="s">
        <v>101</v>
      </c>
      <c r="E264" s="1">
        <v>1</v>
      </c>
      <c r="F264" s="2" t="s">
        <v>1853</v>
      </c>
      <c r="G264" s="2" t="s">
        <v>1659</v>
      </c>
      <c r="H264" s="2" t="s">
        <v>31</v>
      </c>
      <c r="I264" s="2" t="s">
        <v>32</v>
      </c>
      <c r="J264" s="2" t="s">
        <v>1854</v>
      </c>
      <c r="K264" s="10" t="s">
        <v>2836</v>
      </c>
      <c r="L264" s="2" t="s">
        <v>1855</v>
      </c>
      <c r="M264" s="2" t="s">
        <v>1856</v>
      </c>
      <c r="N264" s="2" t="s">
        <v>31</v>
      </c>
      <c r="O264" s="2" t="s">
        <v>31</v>
      </c>
      <c r="P264" s="2" t="s">
        <v>1857</v>
      </c>
      <c r="Q264" s="2" t="s">
        <v>59</v>
      </c>
      <c r="R264" s="2" t="s">
        <v>48</v>
      </c>
      <c r="S264" s="2" t="s">
        <v>31</v>
      </c>
      <c r="T264" s="2" t="s">
        <v>60</v>
      </c>
      <c r="U264" s="2">
        <v>0</v>
      </c>
      <c r="V264" s="10">
        <v>1915</v>
      </c>
      <c r="W264" s="10">
        <v>2664</v>
      </c>
      <c r="X264" s="11">
        <v>0</v>
      </c>
      <c r="Y264" s="11">
        <v>1</v>
      </c>
      <c r="Z264" s="2" t="s">
        <v>31</v>
      </c>
      <c r="AA264" s="2" t="s">
        <v>1858</v>
      </c>
      <c r="AB264" s="3">
        <v>45951</v>
      </c>
      <c r="AC264" s="2">
        <v>1</v>
      </c>
      <c r="AD264" s="2" t="s">
        <v>39</v>
      </c>
      <c r="AE264" s="2">
        <v>7.46</v>
      </c>
      <c r="AF264" s="4">
        <v>2008600</v>
      </c>
      <c r="AG264" s="8">
        <v>20568.060000000001</v>
      </c>
      <c r="AH264" s="8">
        <f t="shared" si="16"/>
        <v>22112.721305999999</v>
      </c>
      <c r="AI264" s="8">
        <f t="shared" si="17"/>
        <v>1544.6613059999981</v>
      </c>
      <c r="AJ264" s="8">
        <f t="shared" si="18"/>
        <v>21680.792046000002</v>
      </c>
      <c r="AK264" s="8">
        <f t="shared" si="19"/>
        <v>1112.732046000001</v>
      </c>
    </row>
    <row r="265" spans="1:37" x14ac:dyDescent="0.3">
      <c r="A265" s="1">
        <v>278</v>
      </c>
      <c r="B265" s="2" t="s">
        <v>1859</v>
      </c>
      <c r="C265" s="2" t="s">
        <v>100</v>
      </c>
      <c r="D265" s="2" t="s">
        <v>101</v>
      </c>
      <c r="E265" s="1">
        <v>1</v>
      </c>
      <c r="F265" s="2" t="s">
        <v>1860</v>
      </c>
      <c r="G265" s="2" t="s">
        <v>1659</v>
      </c>
      <c r="H265" s="2" t="s">
        <v>31</v>
      </c>
      <c r="I265" s="2" t="s">
        <v>32</v>
      </c>
      <c r="J265" s="2" t="s">
        <v>1861</v>
      </c>
      <c r="K265" s="10" t="s">
        <v>2836</v>
      </c>
      <c r="L265" s="2" t="s">
        <v>173</v>
      </c>
      <c r="M265" s="2" t="s">
        <v>1862</v>
      </c>
      <c r="N265" s="2" t="s">
        <v>31</v>
      </c>
      <c r="O265" s="2" t="s">
        <v>31</v>
      </c>
      <c r="P265" s="2" t="s">
        <v>1863</v>
      </c>
      <c r="Q265" s="2" t="s">
        <v>59</v>
      </c>
      <c r="R265" s="2" t="s">
        <v>48</v>
      </c>
      <c r="S265" s="2" t="s">
        <v>31</v>
      </c>
      <c r="T265" s="2" t="s">
        <v>60</v>
      </c>
      <c r="U265" s="2">
        <v>0</v>
      </c>
      <c r="V265" s="10">
        <v>1915</v>
      </c>
      <c r="W265" s="10">
        <v>964</v>
      </c>
      <c r="X265" s="11">
        <v>0</v>
      </c>
      <c r="Y265" s="11">
        <v>1</v>
      </c>
      <c r="Z265" s="2" t="s">
        <v>31</v>
      </c>
      <c r="AA265" s="2" t="s">
        <v>1864</v>
      </c>
      <c r="AB265" s="3">
        <v>44631</v>
      </c>
      <c r="AC265" s="2">
        <v>1599000</v>
      </c>
      <c r="AD265" s="2" t="s">
        <v>39</v>
      </c>
      <c r="AE265" s="2">
        <v>2.94</v>
      </c>
      <c r="AF265" s="4">
        <v>841600</v>
      </c>
      <c r="AG265" s="8">
        <v>8617.98</v>
      </c>
      <c r="AH265" s="8">
        <f t="shared" si="16"/>
        <v>9265.1902979999995</v>
      </c>
      <c r="AI265" s="8">
        <f t="shared" si="17"/>
        <v>647.21029799999997</v>
      </c>
      <c r="AJ265" s="8">
        <f t="shared" si="18"/>
        <v>9084.2127180000007</v>
      </c>
      <c r="AK265" s="8">
        <f t="shared" si="19"/>
        <v>466.23271800000111</v>
      </c>
    </row>
    <row r="266" spans="1:37" x14ac:dyDescent="0.3">
      <c r="A266" s="1">
        <v>279</v>
      </c>
      <c r="B266" s="2" t="s">
        <v>1865</v>
      </c>
      <c r="C266" s="2" t="s">
        <v>100</v>
      </c>
      <c r="D266" s="2" t="s">
        <v>101</v>
      </c>
      <c r="E266" s="1">
        <v>1</v>
      </c>
      <c r="F266" s="2" t="s">
        <v>1866</v>
      </c>
      <c r="G266" s="2" t="s">
        <v>1659</v>
      </c>
      <c r="H266" s="2" t="s">
        <v>31</v>
      </c>
      <c r="I266" s="2" t="s">
        <v>32</v>
      </c>
      <c r="J266" s="2" t="s">
        <v>1867</v>
      </c>
      <c r="K266" s="10" t="s">
        <v>2836</v>
      </c>
      <c r="L266" s="2" t="s">
        <v>173</v>
      </c>
      <c r="M266" s="2" t="s">
        <v>1862</v>
      </c>
      <c r="N266" s="2" t="s">
        <v>31</v>
      </c>
      <c r="O266" s="2" t="s">
        <v>31</v>
      </c>
      <c r="P266" s="2" t="s">
        <v>1863</v>
      </c>
      <c r="Q266" s="2" t="s">
        <v>59</v>
      </c>
      <c r="R266" s="2" t="s">
        <v>48</v>
      </c>
      <c r="S266" s="2" t="s">
        <v>31</v>
      </c>
      <c r="T266" s="2" t="s">
        <v>60</v>
      </c>
      <c r="U266" s="2">
        <v>0</v>
      </c>
      <c r="V266" s="10">
        <v>1915</v>
      </c>
      <c r="W266" s="10">
        <v>761</v>
      </c>
      <c r="X266" s="11">
        <v>0</v>
      </c>
      <c r="Y266" s="11">
        <v>1</v>
      </c>
      <c r="Z266" s="2" t="s">
        <v>31</v>
      </c>
      <c r="AA266" s="2" t="s">
        <v>1864</v>
      </c>
      <c r="AB266" s="3">
        <v>44631</v>
      </c>
      <c r="AC266" s="2">
        <v>1599000</v>
      </c>
      <c r="AD266" s="2" t="s">
        <v>39</v>
      </c>
      <c r="AE266" s="2">
        <v>2.72</v>
      </c>
      <c r="AF266" s="4">
        <v>635200</v>
      </c>
      <c r="AG266" s="8">
        <v>6504.45</v>
      </c>
      <c r="AH266" s="8">
        <f t="shared" si="16"/>
        <v>6992.9341949999998</v>
      </c>
      <c r="AI266" s="8">
        <f t="shared" si="17"/>
        <v>488.484195</v>
      </c>
      <c r="AJ266" s="8">
        <f t="shared" si="18"/>
        <v>6856.3407450000004</v>
      </c>
      <c r="AK266" s="8">
        <f t="shared" si="19"/>
        <v>351.89074500000061</v>
      </c>
    </row>
    <row r="267" spans="1:37" x14ac:dyDescent="0.3">
      <c r="A267" s="1">
        <v>280</v>
      </c>
      <c r="B267" s="2" t="s">
        <v>1868</v>
      </c>
      <c r="C267" s="2" t="s">
        <v>100</v>
      </c>
      <c r="D267" s="2" t="s">
        <v>101</v>
      </c>
      <c r="E267" s="1">
        <v>1</v>
      </c>
      <c r="F267" s="2" t="s">
        <v>1869</v>
      </c>
      <c r="G267" s="2" t="s">
        <v>1659</v>
      </c>
      <c r="H267" s="2" t="s">
        <v>31</v>
      </c>
      <c r="I267" s="2" t="s">
        <v>32</v>
      </c>
      <c r="J267" s="2" t="s">
        <v>1870</v>
      </c>
      <c r="K267" s="10" t="s">
        <v>2836</v>
      </c>
      <c r="L267" s="2" t="s">
        <v>1871</v>
      </c>
      <c r="M267" s="2" t="s">
        <v>1872</v>
      </c>
      <c r="N267" s="2" t="s">
        <v>31</v>
      </c>
      <c r="O267" s="2" t="s">
        <v>31</v>
      </c>
      <c r="P267" s="2" t="s">
        <v>1873</v>
      </c>
      <c r="Q267" s="2" t="s">
        <v>59</v>
      </c>
      <c r="R267" s="2" t="s">
        <v>48</v>
      </c>
      <c r="S267" s="2" t="s">
        <v>31</v>
      </c>
      <c r="T267" s="2" t="s">
        <v>60</v>
      </c>
      <c r="U267" s="2">
        <v>0</v>
      </c>
      <c r="V267" s="10">
        <v>1915</v>
      </c>
      <c r="W267" s="10">
        <v>1071</v>
      </c>
      <c r="X267" s="11">
        <v>0</v>
      </c>
      <c r="Y267" s="11">
        <v>1</v>
      </c>
      <c r="Z267" s="2" t="s">
        <v>31</v>
      </c>
      <c r="AA267" s="2" t="s">
        <v>1874</v>
      </c>
      <c r="AB267" s="3">
        <v>42326</v>
      </c>
      <c r="AC267" s="2">
        <v>530000</v>
      </c>
      <c r="AD267" s="2" t="s">
        <v>107</v>
      </c>
      <c r="AE267" s="2">
        <v>3.35</v>
      </c>
      <c r="AF267" s="4">
        <v>802600</v>
      </c>
      <c r="AG267" s="8">
        <v>4583.6899999999996</v>
      </c>
      <c r="AH267" s="8">
        <f t="shared" si="16"/>
        <v>4927.9251189999995</v>
      </c>
      <c r="AI267" s="8">
        <f t="shared" si="17"/>
        <v>344.23511899999994</v>
      </c>
      <c r="AJ267" s="8">
        <f t="shared" si="18"/>
        <v>4831.6676289999996</v>
      </c>
      <c r="AK267" s="8">
        <f t="shared" si="19"/>
        <v>247.97762899999998</v>
      </c>
    </row>
    <row r="268" spans="1:37" x14ac:dyDescent="0.3">
      <c r="A268" s="1">
        <v>281</v>
      </c>
      <c r="B268" s="2" t="s">
        <v>1875</v>
      </c>
      <c r="C268" s="2" t="s">
        <v>100</v>
      </c>
      <c r="D268" s="2" t="s">
        <v>101</v>
      </c>
      <c r="E268" s="1">
        <v>1</v>
      </c>
      <c r="F268" s="2" t="s">
        <v>1876</v>
      </c>
      <c r="G268" s="2" t="s">
        <v>1659</v>
      </c>
      <c r="H268" s="2" t="s">
        <v>31</v>
      </c>
      <c r="I268" s="2" t="s">
        <v>32</v>
      </c>
      <c r="J268" s="2" t="s">
        <v>1877</v>
      </c>
      <c r="K268" s="10" t="s">
        <v>2836</v>
      </c>
      <c r="L268" s="2" t="s">
        <v>1878</v>
      </c>
      <c r="M268" s="2" t="s">
        <v>1879</v>
      </c>
      <c r="N268" s="2" t="s">
        <v>1880</v>
      </c>
      <c r="O268" s="2" t="s">
        <v>31</v>
      </c>
      <c r="P268" s="2" t="s">
        <v>1881</v>
      </c>
      <c r="Q268" s="2" t="s">
        <v>86</v>
      </c>
      <c r="R268" s="2" t="s">
        <v>48</v>
      </c>
      <c r="S268" s="2" t="s">
        <v>31</v>
      </c>
      <c r="T268" s="2" t="s">
        <v>1882</v>
      </c>
      <c r="U268" s="2">
        <v>0</v>
      </c>
      <c r="V268" s="10">
        <v>1915</v>
      </c>
      <c r="W268" s="10">
        <v>1186</v>
      </c>
      <c r="X268" s="11">
        <v>0</v>
      </c>
      <c r="Y268" s="11">
        <v>1</v>
      </c>
      <c r="Z268" s="2" t="s">
        <v>31</v>
      </c>
      <c r="AA268" s="2" t="s">
        <v>1883</v>
      </c>
      <c r="AB268" s="3">
        <v>31014</v>
      </c>
      <c r="AC268" s="2">
        <v>99500</v>
      </c>
      <c r="AD268" s="2" t="s">
        <v>39</v>
      </c>
      <c r="AE268" s="2">
        <v>1.72</v>
      </c>
      <c r="AF268" s="4">
        <v>670300</v>
      </c>
      <c r="AG268" s="8">
        <v>6863.87</v>
      </c>
      <c r="AH268" s="8">
        <f t="shared" si="16"/>
        <v>7379.3466369999996</v>
      </c>
      <c r="AI268" s="8">
        <f t="shared" si="17"/>
        <v>515.47663699999976</v>
      </c>
      <c r="AJ268" s="8">
        <f t="shared" si="18"/>
        <v>7235.2053670000005</v>
      </c>
      <c r="AK268" s="8">
        <f t="shared" si="19"/>
        <v>371.33536700000059</v>
      </c>
    </row>
    <row r="269" spans="1:37" x14ac:dyDescent="0.3">
      <c r="A269" s="1">
        <v>282</v>
      </c>
      <c r="B269" s="2" t="s">
        <v>1884</v>
      </c>
      <c r="C269" s="2" t="s">
        <v>439</v>
      </c>
      <c r="D269" s="2" t="s">
        <v>28</v>
      </c>
      <c r="E269" s="1">
        <v>19</v>
      </c>
      <c r="F269" s="2" t="s">
        <v>1885</v>
      </c>
      <c r="G269" s="2" t="s">
        <v>1886</v>
      </c>
      <c r="H269" s="2" t="s">
        <v>31</v>
      </c>
      <c r="I269" s="2" t="s">
        <v>32</v>
      </c>
      <c r="J269" s="2" t="s">
        <v>31</v>
      </c>
      <c r="K269" s="10" t="s">
        <v>31</v>
      </c>
      <c r="L269" s="2" t="s">
        <v>1887</v>
      </c>
      <c r="M269" s="2" t="s">
        <v>31</v>
      </c>
      <c r="N269" s="2" t="s">
        <v>1888</v>
      </c>
      <c r="O269" s="2" t="s">
        <v>31</v>
      </c>
      <c r="P269" s="2" t="s">
        <v>1188</v>
      </c>
      <c r="Q269" s="2" t="s">
        <v>1889</v>
      </c>
      <c r="R269" s="2" t="s">
        <v>48</v>
      </c>
      <c r="S269" s="2" t="s">
        <v>31</v>
      </c>
      <c r="T269" s="2" t="s">
        <v>1190</v>
      </c>
      <c r="U269" s="2">
        <v>10276</v>
      </c>
      <c r="V269" s="10">
        <v>1920</v>
      </c>
      <c r="W269" s="10">
        <v>23262.2</v>
      </c>
      <c r="X269" s="11">
        <v>0</v>
      </c>
      <c r="Y269" s="11">
        <v>19</v>
      </c>
      <c r="Z269" s="2" t="s">
        <v>447</v>
      </c>
      <c r="AA269" s="2" t="s">
        <v>1890</v>
      </c>
      <c r="AB269" s="3">
        <v>41498</v>
      </c>
      <c r="AC269" s="2">
        <v>100</v>
      </c>
      <c r="AD269" s="2" t="s">
        <v>39</v>
      </c>
      <c r="AE269" s="2">
        <v>0</v>
      </c>
      <c r="AF269" s="4">
        <v>8425200</v>
      </c>
      <c r="AG269" s="8">
        <v>86274.05</v>
      </c>
      <c r="AH269" s="8">
        <f t="shared" si="16"/>
        <v>92753.231155000001</v>
      </c>
      <c r="AI269" s="8">
        <f t="shared" si="17"/>
        <v>6479.1811549999984</v>
      </c>
      <c r="AJ269" s="8">
        <f t="shared" si="18"/>
        <v>90941.476105000009</v>
      </c>
      <c r="AK269" s="8">
        <f t="shared" si="19"/>
        <v>4667.4261050000059</v>
      </c>
    </row>
    <row r="270" spans="1:37" x14ac:dyDescent="0.3">
      <c r="A270" s="1">
        <v>283</v>
      </c>
      <c r="B270" s="2" t="s">
        <v>1891</v>
      </c>
      <c r="C270" s="2" t="s">
        <v>439</v>
      </c>
      <c r="D270" s="2" t="s">
        <v>28</v>
      </c>
      <c r="E270" s="1">
        <v>20</v>
      </c>
      <c r="F270" s="2" t="s">
        <v>1892</v>
      </c>
      <c r="G270" s="2" t="s">
        <v>1893</v>
      </c>
      <c r="H270" s="2" t="s">
        <v>31</v>
      </c>
      <c r="I270" s="2" t="s">
        <v>32</v>
      </c>
      <c r="J270" s="2" t="s">
        <v>31</v>
      </c>
      <c r="K270" s="10" t="s">
        <v>31</v>
      </c>
      <c r="L270" s="2" t="s">
        <v>1887</v>
      </c>
      <c r="M270" s="2" t="s">
        <v>31</v>
      </c>
      <c r="N270" s="2" t="s">
        <v>1888</v>
      </c>
      <c r="O270" s="2" t="s">
        <v>31</v>
      </c>
      <c r="P270" s="2" t="s">
        <v>1188</v>
      </c>
      <c r="Q270" s="2" t="s">
        <v>1889</v>
      </c>
      <c r="R270" s="2" t="s">
        <v>48</v>
      </c>
      <c r="S270" s="2" t="s">
        <v>31</v>
      </c>
      <c r="T270" s="2" t="s">
        <v>1190</v>
      </c>
      <c r="U270" s="2">
        <v>10272</v>
      </c>
      <c r="V270" s="10">
        <v>1920</v>
      </c>
      <c r="W270" s="10">
        <v>21634.799999999999</v>
      </c>
      <c r="X270" s="11">
        <v>0</v>
      </c>
      <c r="Y270" s="11">
        <v>20</v>
      </c>
      <c r="Z270" s="2" t="s">
        <v>447</v>
      </c>
      <c r="AA270" s="2" t="s">
        <v>1890</v>
      </c>
      <c r="AB270" s="3">
        <v>41498</v>
      </c>
      <c r="AC270" s="2">
        <v>100</v>
      </c>
      <c r="AD270" s="2" t="s">
        <v>39</v>
      </c>
      <c r="AE270" s="2">
        <v>0</v>
      </c>
      <c r="AF270" s="4">
        <v>8955000</v>
      </c>
      <c r="AG270" s="8">
        <v>91699.199999999997</v>
      </c>
      <c r="AH270" s="8">
        <f t="shared" si="16"/>
        <v>98585.809919999985</v>
      </c>
      <c r="AI270" s="8">
        <f t="shared" si="17"/>
        <v>6886.6099199999881</v>
      </c>
      <c r="AJ270" s="8">
        <f t="shared" si="18"/>
        <v>96660.12672</v>
      </c>
      <c r="AK270" s="8">
        <f t="shared" si="19"/>
        <v>4960.9267200000031</v>
      </c>
    </row>
    <row r="271" spans="1:37" x14ac:dyDescent="0.3">
      <c r="A271" s="1">
        <v>284</v>
      </c>
      <c r="B271" s="2" t="s">
        <v>1894</v>
      </c>
      <c r="C271" s="2" t="s">
        <v>439</v>
      </c>
      <c r="D271" s="2" t="s">
        <v>28</v>
      </c>
      <c r="E271" s="1">
        <v>16</v>
      </c>
      <c r="F271" s="2" t="s">
        <v>1895</v>
      </c>
      <c r="G271" s="2" t="s">
        <v>1896</v>
      </c>
      <c r="H271" s="2" t="s">
        <v>31</v>
      </c>
      <c r="I271" s="2" t="s">
        <v>32</v>
      </c>
      <c r="J271" s="2" t="s">
        <v>31</v>
      </c>
      <c r="K271" s="10" t="s">
        <v>31</v>
      </c>
      <c r="L271" s="2" t="s">
        <v>1897</v>
      </c>
      <c r="M271" s="2" t="s">
        <v>31</v>
      </c>
      <c r="N271" s="2" t="s">
        <v>1898</v>
      </c>
      <c r="O271" s="2" t="s">
        <v>31</v>
      </c>
      <c r="P271" s="2" t="s">
        <v>1899</v>
      </c>
      <c r="Q271" s="2" t="s">
        <v>59</v>
      </c>
      <c r="R271" s="2" t="s">
        <v>48</v>
      </c>
      <c r="S271" s="2" t="s">
        <v>31</v>
      </c>
      <c r="T271" s="2" t="s">
        <v>60</v>
      </c>
      <c r="U271" s="2">
        <v>10268</v>
      </c>
      <c r="V271" s="10">
        <v>1920</v>
      </c>
      <c r="W271" s="10">
        <v>22344</v>
      </c>
      <c r="X271" s="11">
        <v>0</v>
      </c>
      <c r="Y271" s="11">
        <v>16</v>
      </c>
      <c r="Z271" s="2" t="s">
        <v>447</v>
      </c>
      <c r="AA271" s="2" t="s">
        <v>1900</v>
      </c>
      <c r="AB271" s="3">
        <v>35797</v>
      </c>
      <c r="AC271" s="2">
        <v>5500000</v>
      </c>
      <c r="AD271" s="2" t="s">
        <v>39</v>
      </c>
      <c r="AE271" s="2">
        <v>0</v>
      </c>
      <c r="AF271" s="4">
        <v>7935700</v>
      </c>
      <c r="AG271" s="8">
        <v>81261.570000000007</v>
      </c>
      <c r="AH271" s="8">
        <f t="shared" si="16"/>
        <v>87364.313907000003</v>
      </c>
      <c r="AI271" s="8">
        <f t="shared" si="17"/>
        <v>6102.7439069999964</v>
      </c>
      <c r="AJ271" s="8">
        <f t="shared" si="18"/>
        <v>85657.820937000011</v>
      </c>
      <c r="AK271" s="8">
        <f t="shared" si="19"/>
        <v>4396.2509370000043</v>
      </c>
    </row>
    <row r="272" spans="1:37" x14ac:dyDescent="0.3">
      <c r="A272" s="1">
        <v>285</v>
      </c>
      <c r="B272" s="2" t="s">
        <v>1901</v>
      </c>
      <c r="C272" s="2" t="s">
        <v>439</v>
      </c>
      <c r="D272" s="2" t="s">
        <v>28</v>
      </c>
      <c r="E272" s="1">
        <v>21</v>
      </c>
      <c r="F272" s="2" t="s">
        <v>1902</v>
      </c>
      <c r="G272" s="2" t="s">
        <v>1903</v>
      </c>
      <c r="H272" s="2" t="s">
        <v>31</v>
      </c>
      <c r="I272" s="2" t="s">
        <v>32</v>
      </c>
      <c r="J272" s="2" t="s">
        <v>31</v>
      </c>
      <c r="K272" s="10" t="s">
        <v>31</v>
      </c>
      <c r="L272" s="2" t="s">
        <v>1897</v>
      </c>
      <c r="M272" s="2" t="s">
        <v>31</v>
      </c>
      <c r="N272" s="2" t="s">
        <v>1898</v>
      </c>
      <c r="O272" s="2" t="s">
        <v>31</v>
      </c>
      <c r="P272" s="2" t="s">
        <v>1899</v>
      </c>
      <c r="Q272" s="2" t="s">
        <v>59</v>
      </c>
      <c r="R272" s="2" t="s">
        <v>48</v>
      </c>
      <c r="S272" s="2" t="s">
        <v>31</v>
      </c>
      <c r="T272" s="2" t="s">
        <v>60</v>
      </c>
      <c r="U272" s="2">
        <v>18879</v>
      </c>
      <c r="V272" s="10">
        <v>1920</v>
      </c>
      <c r="W272" s="10">
        <v>26539.8</v>
      </c>
      <c r="X272" s="11">
        <v>0</v>
      </c>
      <c r="Y272" s="11">
        <v>21</v>
      </c>
      <c r="Z272" s="2" t="s">
        <v>447</v>
      </c>
      <c r="AA272" s="2" t="s">
        <v>1900</v>
      </c>
      <c r="AB272" s="3">
        <v>35797</v>
      </c>
      <c r="AC272" s="2">
        <v>5500000</v>
      </c>
      <c r="AD272" s="2" t="s">
        <v>39</v>
      </c>
      <c r="AE272" s="2">
        <v>0</v>
      </c>
      <c r="AF272" s="4">
        <v>9659200</v>
      </c>
      <c r="AG272" s="8">
        <v>98910.21</v>
      </c>
      <c r="AH272" s="8">
        <f t="shared" si="16"/>
        <v>106338.366771</v>
      </c>
      <c r="AI272" s="8">
        <f t="shared" si="17"/>
        <v>7428.1567709999945</v>
      </c>
      <c r="AJ272" s="8">
        <f t="shared" si="18"/>
        <v>104261.25236100001</v>
      </c>
      <c r="AK272" s="8">
        <f t="shared" si="19"/>
        <v>5351.0423609999998</v>
      </c>
    </row>
    <row r="273" spans="1:37" x14ac:dyDescent="0.3">
      <c r="A273" s="1">
        <v>288</v>
      </c>
      <c r="B273" s="2" t="s">
        <v>1904</v>
      </c>
      <c r="C273" s="2" t="s">
        <v>371</v>
      </c>
      <c r="D273" s="2" t="s">
        <v>1905</v>
      </c>
      <c r="E273" s="1">
        <v>1</v>
      </c>
      <c r="F273" s="2" t="s">
        <v>1906</v>
      </c>
      <c r="G273" s="2" t="s">
        <v>1907</v>
      </c>
      <c r="H273" s="2" t="s">
        <v>31</v>
      </c>
      <c r="I273" s="2" t="s">
        <v>32</v>
      </c>
      <c r="J273" s="2" t="s">
        <v>31</v>
      </c>
      <c r="K273" s="10" t="s">
        <v>31</v>
      </c>
      <c r="L273" s="2" t="s">
        <v>1908</v>
      </c>
      <c r="M273" s="2" t="s">
        <v>1909</v>
      </c>
      <c r="N273" s="2" t="s">
        <v>1910</v>
      </c>
      <c r="O273" s="2" t="s">
        <v>1911</v>
      </c>
      <c r="P273" s="2" t="s">
        <v>1912</v>
      </c>
      <c r="Q273" s="2" t="s">
        <v>59</v>
      </c>
      <c r="R273" s="2" t="s">
        <v>48</v>
      </c>
      <c r="S273" s="2" t="s">
        <v>31</v>
      </c>
      <c r="T273" s="2" t="s">
        <v>60</v>
      </c>
      <c r="U273" s="2">
        <v>7461</v>
      </c>
      <c r="V273" s="10">
        <v>1920</v>
      </c>
      <c r="W273" s="10">
        <v>4026.4500200000002</v>
      </c>
      <c r="X273" s="11">
        <v>0</v>
      </c>
      <c r="Y273" s="11">
        <v>1</v>
      </c>
      <c r="Z273" s="2" t="s">
        <v>455</v>
      </c>
      <c r="AA273" s="2" t="s">
        <v>1913</v>
      </c>
      <c r="AB273" s="3">
        <v>40238</v>
      </c>
      <c r="AC273" s="2">
        <v>1234000</v>
      </c>
      <c r="AD273" s="2" t="s">
        <v>107</v>
      </c>
      <c r="AE273" s="2">
        <v>0</v>
      </c>
      <c r="AF273" s="4">
        <v>2786000</v>
      </c>
      <c r="AG273" s="8">
        <v>24893.71</v>
      </c>
      <c r="AH273" s="8">
        <f t="shared" si="16"/>
        <v>26763.227620999998</v>
      </c>
      <c r="AI273" s="8">
        <f t="shared" si="17"/>
        <v>1869.5176209999991</v>
      </c>
      <c r="AJ273" s="8">
        <f t="shared" si="18"/>
        <v>26240.459711</v>
      </c>
      <c r="AK273" s="8">
        <f t="shared" si="19"/>
        <v>1346.7497110000004</v>
      </c>
    </row>
    <row r="274" spans="1:37" x14ac:dyDescent="0.3">
      <c r="A274" s="1">
        <v>289</v>
      </c>
      <c r="B274" s="2" t="s">
        <v>1914</v>
      </c>
      <c r="C274" s="2" t="s">
        <v>100</v>
      </c>
      <c r="D274" s="2" t="s">
        <v>1905</v>
      </c>
      <c r="E274" s="1">
        <v>1</v>
      </c>
      <c r="F274" s="2" t="s">
        <v>1915</v>
      </c>
      <c r="G274" s="2" t="s">
        <v>1916</v>
      </c>
      <c r="H274" s="2" t="s">
        <v>31</v>
      </c>
      <c r="I274" s="2" t="s">
        <v>32</v>
      </c>
      <c r="J274" s="2" t="s">
        <v>299</v>
      </c>
      <c r="K274" s="10" t="s">
        <v>2837</v>
      </c>
      <c r="L274" s="2" t="s">
        <v>1917</v>
      </c>
      <c r="M274" s="2" t="s">
        <v>1918</v>
      </c>
      <c r="N274" s="2" t="s">
        <v>31</v>
      </c>
      <c r="O274" s="2" t="s">
        <v>31</v>
      </c>
      <c r="P274" s="2" t="s">
        <v>1919</v>
      </c>
      <c r="Q274" s="2" t="s">
        <v>59</v>
      </c>
      <c r="R274" s="2" t="s">
        <v>48</v>
      </c>
      <c r="S274" s="2" t="s">
        <v>31</v>
      </c>
      <c r="T274" s="2" t="s">
        <v>60</v>
      </c>
      <c r="U274" s="2">
        <v>0</v>
      </c>
      <c r="V274" s="10">
        <v>1922</v>
      </c>
      <c r="W274" s="10">
        <v>1341</v>
      </c>
      <c r="X274" s="11">
        <v>0</v>
      </c>
      <c r="Y274" s="11">
        <v>1</v>
      </c>
      <c r="Z274" s="2" t="s">
        <v>31</v>
      </c>
      <c r="AA274" s="2" t="s">
        <v>1920</v>
      </c>
      <c r="AB274" s="3">
        <v>38943</v>
      </c>
      <c r="AC274" s="2">
        <v>929250</v>
      </c>
      <c r="AD274" s="2" t="s">
        <v>107</v>
      </c>
      <c r="AE274" s="2">
        <v>50</v>
      </c>
      <c r="AF274" s="4">
        <v>1850700</v>
      </c>
      <c r="AG274" s="8">
        <v>15316.23</v>
      </c>
      <c r="AH274" s="8">
        <f t="shared" si="16"/>
        <v>16466.478873</v>
      </c>
      <c r="AI274" s="8">
        <f t="shared" si="17"/>
        <v>1150.2488730000005</v>
      </c>
      <c r="AJ274" s="8">
        <f t="shared" si="18"/>
        <v>16144.838043</v>
      </c>
      <c r="AK274" s="8">
        <f t="shared" si="19"/>
        <v>828.60804300000018</v>
      </c>
    </row>
    <row r="275" spans="1:37" x14ac:dyDescent="0.3">
      <c r="A275" s="1">
        <v>290</v>
      </c>
      <c r="B275" s="2" t="s">
        <v>1921</v>
      </c>
      <c r="C275" s="2" t="s">
        <v>100</v>
      </c>
      <c r="D275" s="2" t="s">
        <v>1905</v>
      </c>
      <c r="E275" s="1">
        <v>1</v>
      </c>
      <c r="F275" s="2" t="s">
        <v>1922</v>
      </c>
      <c r="G275" s="2" t="s">
        <v>1916</v>
      </c>
      <c r="H275" s="2" t="s">
        <v>31</v>
      </c>
      <c r="I275" s="2" t="s">
        <v>32</v>
      </c>
      <c r="J275" s="2" t="s">
        <v>1923</v>
      </c>
      <c r="K275" s="10" t="s">
        <v>2837</v>
      </c>
      <c r="L275" s="2" t="s">
        <v>1924</v>
      </c>
      <c r="M275" s="2" t="s">
        <v>1925</v>
      </c>
      <c r="N275" s="2" t="s">
        <v>31</v>
      </c>
      <c r="O275" s="2" t="s">
        <v>31</v>
      </c>
      <c r="P275" s="2" t="s">
        <v>1926</v>
      </c>
      <c r="Q275" s="2" t="s">
        <v>59</v>
      </c>
      <c r="R275" s="2" t="s">
        <v>48</v>
      </c>
      <c r="S275" s="2" t="s">
        <v>31</v>
      </c>
      <c r="T275" s="2" t="s">
        <v>60</v>
      </c>
      <c r="U275" s="2">
        <v>0</v>
      </c>
      <c r="V275" s="10">
        <v>1922</v>
      </c>
      <c r="W275" s="10">
        <v>2492</v>
      </c>
      <c r="X275" s="11">
        <v>0</v>
      </c>
      <c r="Y275" s="11">
        <v>1</v>
      </c>
      <c r="Z275" s="2" t="s">
        <v>31</v>
      </c>
      <c r="AA275" s="2" t="s">
        <v>1927</v>
      </c>
      <c r="AB275" s="3">
        <v>35562</v>
      </c>
      <c r="AC275" s="2">
        <v>325000</v>
      </c>
      <c r="AD275" s="2" t="s">
        <v>107</v>
      </c>
      <c r="AE275" s="2">
        <v>50</v>
      </c>
      <c r="AF275" s="4">
        <v>1979600</v>
      </c>
      <c r="AG275" s="8">
        <v>16636.169999999998</v>
      </c>
      <c r="AH275" s="8">
        <f t="shared" si="16"/>
        <v>17885.546366999999</v>
      </c>
      <c r="AI275" s="8">
        <f t="shared" si="17"/>
        <v>1249.3763670000008</v>
      </c>
      <c r="AJ275" s="8">
        <f t="shared" si="18"/>
        <v>17536.186796999998</v>
      </c>
      <c r="AK275" s="8">
        <f t="shared" si="19"/>
        <v>900.01679700000022</v>
      </c>
    </row>
    <row r="276" spans="1:37" x14ac:dyDescent="0.3">
      <c r="A276" s="1">
        <v>291</v>
      </c>
      <c r="B276" s="2" t="s">
        <v>1928</v>
      </c>
      <c r="C276" s="2" t="s">
        <v>1929</v>
      </c>
      <c r="D276" s="2" t="s">
        <v>1905</v>
      </c>
      <c r="E276" s="1">
        <v>0</v>
      </c>
      <c r="F276" s="2" t="s">
        <v>1930</v>
      </c>
      <c r="G276" s="2" t="s">
        <v>1916</v>
      </c>
      <c r="H276" s="2" t="s">
        <v>31</v>
      </c>
      <c r="I276" s="2" t="s">
        <v>32</v>
      </c>
      <c r="J276" s="2" t="s">
        <v>1931</v>
      </c>
      <c r="K276" s="10" t="s">
        <v>2837</v>
      </c>
      <c r="L276" s="2" t="s">
        <v>1817</v>
      </c>
      <c r="M276" s="2" t="s">
        <v>1818</v>
      </c>
      <c r="N276" s="2" t="s">
        <v>31</v>
      </c>
      <c r="O276" s="2" t="s">
        <v>31</v>
      </c>
      <c r="P276" s="2" t="s">
        <v>1819</v>
      </c>
      <c r="Q276" s="2" t="s">
        <v>59</v>
      </c>
      <c r="R276" s="2" t="s">
        <v>48</v>
      </c>
      <c r="S276" s="2" t="s">
        <v>31</v>
      </c>
      <c r="T276" s="2" t="s">
        <v>60</v>
      </c>
      <c r="U276" s="2">
        <v>0</v>
      </c>
      <c r="V276" s="10" t="s">
        <v>31</v>
      </c>
      <c r="W276" s="10">
        <v>0</v>
      </c>
      <c r="X276" s="11">
        <v>0</v>
      </c>
      <c r="Y276" s="11">
        <v>0</v>
      </c>
      <c r="Z276" s="2" t="s">
        <v>31</v>
      </c>
      <c r="AA276" s="2" t="s">
        <v>1932</v>
      </c>
      <c r="AB276" s="3">
        <v>43980</v>
      </c>
      <c r="AC276" s="2">
        <v>100</v>
      </c>
      <c r="AD276" s="2" t="s">
        <v>39</v>
      </c>
      <c r="AE276" s="2">
        <v>0</v>
      </c>
      <c r="AF276" s="4">
        <v>51600</v>
      </c>
      <c r="AG276" s="8">
        <v>528.38</v>
      </c>
      <c r="AH276" s="8">
        <f t="shared" si="16"/>
        <v>568.06133799999998</v>
      </c>
      <c r="AI276" s="8">
        <f t="shared" si="17"/>
        <v>39.681337999999982</v>
      </c>
      <c r="AJ276" s="8">
        <f t="shared" si="18"/>
        <v>556.96535800000004</v>
      </c>
      <c r="AK276" s="8">
        <f t="shared" si="19"/>
        <v>28.585358000000042</v>
      </c>
    </row>
    <row r="277" spans="1:37" x14ac:dyDescent="0.3">
      <c r="A277" s="1">
        <v>292</v>
      </c>
      <c r="B277" s="2" t="s">
        <v>1933</v>
      </c>
      <c r="C277" s="2" t="s">
        <v>1929</v>
      </c>
      <c r="D277" s="2" t="s">
        <v>1905</v>
      </c>
      <c r="E277" s="1">
        <v>0</v>
      </c>
      <c r="F277" s="2" t="s">
        <v>1934</v>
      </c>
      <c r="G277" s="2" t="s">
        <v>1916</v>
      </c>
      <c r="H277" s="2" t="s">
        <v>31</v>
      </c>
      <c r="I277" s="2" t="s">
        <v>32</v>
      </c>
      <c r="J277" s="2" t="s">
        <v>1935</v>
      </c>
      <c r="K277" s="10" t="s">
        <v>2837</v>
      </c>
      <c r="L277" s="2" t="s">
        <v>1824</v>
      </c>
      <c r="M277" s="2" t="s">
        <v>1825</v>
      </c>
      <c r="N277" s="2" t="s">
        <v>31</v>
      </c>
      <c r="O277" s="2" t="s">
        <v>31</v>
      </c>
      <c r="P277" s="2" t="s">
        <v>1936</v>
      </c>
      <c r="Q277" s="2" t="s">
        <v>59</v>
      </c>
      <c r="R277" s="2" t="s">
        <v>48</v>
      </c>
      <c r="S277" s="2" t="s">
        <v>31</v>
      </c>
      <c r="T277" s="2" t="s">
        <v>60</v>
      </c>
      <c r="U277" s="2">
        <v>0</v>
      </c>
      <c r="V277" s="10" t="s">
        <v>31</v>
      </c>
      <c r="W277" s="10">
        <v>0</v>
      </c>
      <c r="X277" s="11">
        <v>0</v>
      </c>
      <c r="Y277" s="11">
        <v>0</v>
      </c>
      <c r="Z277" s="2" t="s">
        <v>31</v>
      </c>
      <c r="AA277" s="2" t="s">
        <v>1827</v>
      </c>
      <c r="AB277" s="3">
        <v>37537</v>
      </c>
      <c r="AC277" s="2">
        <v>625000</v>
      </c>
      <c r="AD277" s="2" t="s">
        <v>39</v>
      </c>
      <c r="AE277" s="2">
        <v>0</v>
      </c>
      <c r="AF277" s="4">
        <v>51600</v>
      </c>
      <c r="AG277" s="8">
        <v>528.38</v>
      </c>
      <c r="AH277" s="8">
        <f t="shared" si="16"/>
        <v>568.06133799999998</v>
      </c>
      <c r="AI277" s="8">
        <f t="shared" si="17"/>
        <v>39.681337999999982</v>
      </c>
      <c r="AJ277" s="8">
        <f t="shared" si="18"/>
        <v>556.96535800000004</v>
      </c>
      <c r="AK277" s="8">
        <f t="shared" si="19"/>
        <v>28.585358000000042</v>
      </c>
    </row>
    <row r="278" spans="1:37" x14ac:dyDescent="0.3">
      <c r="A278" s="1">
        <v>293</v>
      </c>
      <c r="B278" s="2" t="s">
        <v>1937</v>
      </c>
      <c r="C278" s="2" t="s">
        <v>1929</v>
      </c>
      <c r="D278" s="2" t="s">
        <v>1905</v>
      </c>
      <c r="E278" s="1">
        <v>0</v>
      </c>
      <c r="F278" s="2" t="s">
        <v>1938</v>
      </c>
      <c r="G278" s="2" t="s">
        <v>1916</v>
      </c>
      <c r="H278" s="2" t="s">
        <v>31</v>
      </c>
      <c r="I278" s="2" t="s">
        <v>32</v>
      </c>
      <c r="J278" s="2" t="s">
        <v>1939</v>
      </c>
      <c r="K278" s="10" t="s">
        <v>2837</v>
      </c>
      <c r="L278" s="2" t="s">
        <v>1675</v>
      </c>
      <c r="M278" s="2" t="s">
        <v>1676</v>
      </c>
      <c r="N278" s="2" t="s">
        <v>31</v>
      </c>
      <c r="O278" s="2" t="s">
        <v>31</v>
      </c>
      <c r="P278" s="2" t="s">
        <v>1940</v>
      </c>
      <c r="Q278" s="2" t="s">
        <v>59</v>
      </c>
      <c r="R278" s="2" t="s">
        <v>48</v>
      </c>
      <c r="S278" s="2" t="s">
        <v>31</v>
      </c>
      <c r="T278" s="2" t="s">
        <v>60</v>
      </c>
      <c r="U278" s="2">
        <v>0</v>
      </c>
      <c r="V278" s="10" t="s">
        <v>31</v>
      </c>
      <c r="W278" s="10">
        <v>0</v>
      </c>
      <c r="X278" s="11">
        <v>0</v>
      </c>
      <c r="Y278" s="11">
        <v>0</v>
      </c>
      <c r="Z278" s="2" t="s">
        <v>31</v>
      </c>
      <c r="AA278" s="2" t="s">
        <v>1941</v>
      </c>
      <c r="AB278" s="3">
        <v>45527</v>
      </c>
      <c r="AC278" s="2">
        <v>1</v>
      </c>
      <c r="AD278" s="2" t="s">
        <v>39</v>
      </c>
      <c r="AE278" s="2">
        <v>0</v>
      </c>
      <c r="AF278" s="4">
        <v>52300</v>
      </c>
      <c r="AG278" s="8">
        <v>535.54999999999995</v>
      </c>
      <c r="AH278" s="8">
        <f t="shared" si="16"/>
        <v>575.76980499999991</v>
      </c>
      <c r="AI278" s="8">
        <f t="shared" si="17"/>
        <v>40.219804999999951</v>
      </c>
      <c r="AJ278" s="8">
        <f t="shared" si="18"/>
        <v>564.52325499999995</v>
      </c>
      <c r="AK278" s="8">
        <f t="shared" si="19"/>
        <v>28.973254999999995</v>
      </c>
    </row>
    <row r="279" spans="1:37" x14ac:dyDescent="0.3">
      <c r="A279" s="1">
        <v>17967</v>
      </c>
      <c r="B279" s="2" t="s">
        <v>2676</v>
      </c>
      <c r="C279" s="2" t="s">
        <v>100</v>
      </c>
      <c r="D279" s="2" t="s">
        <v>1905</v>
      </c>
      <c r="E279" s="1">
        <v>1</v>
      </c>
      <c r="F279" s="2" t="s">
        <v>2677</v>
      </c>
      <c r="G279" s="2" t="s">
        <v>2658</v>
      </c>
      <c r="H279" s="2" t="s">
        <v>31</v>
      </c>
      <c r="I279" s="2" t="s">
        <v>32</v>
      </c>
      <c r="J279" s="2" t="s">
        <v>2678</v>
      </c>
      <c r="K279" s="10" t="s">
        <v>2838</v>
      </c>
      <c r="L279" s="2" t="s">
        <v>2673</v>
      </c>
      <c r="M279" s="2" t="s">
        <v>2679</v>
      </c>
      <c r="N279" s="2" t="s">
        <v>2660</v>
      </c>
      <c r="O279" s="2" t="s">
        <v>2680</v>
      </c>
      <c r="P279" s="2" t="s">
        <v>2681</v>
      </c>
      <c r="Q279" s="2" t="s">
        <v>59</v>
      </c>
      <c r="R279" s="2" t="s">
        <v>48</v>
      </c>
      <c r="S279" s="2" t="s">
        <v>31</v>
      </c>
      <c r="T279" s="2" t="s">
        <v>60</v>
      </c>
      <c r="U279" s="2">
        <v>0</v>
      </c>
      <c r="V279" s="10">
        <v>2001</v>
      </c>
      <c r="W279" s="10">
        <v>2875</v>
      </c>
      <c r="X279" s="11">
        <v>0</v>
      </c>
      <c r="Y279" s="11">
        <v>1</v>
      </c>
      <c r="Z279" s="2" t="s">
        <v>31</v>
      </c>
      <c r="AA279" s="2" t="s">
        <v>2682</v>
      </c>
      <c r="AB279" s="3">
        <v>41934</v>
      </c>
      <c r="AC279" s="2">
        <v>2600000</v>
      </c>
      <c r="AD279" s="2" t="s">
        <v>107</v>
      </c>
      <c r="AE279" s="2">
        <v>7.42</v>
      </c>
      <c r="AF279" s="4">
        <v>3375800</v>
      </c>
      <c r="AG279" s="8">
        <v>30933.26</v>
      </c>
      <c r="AH279" s="8">
        <f t="shared" si="16"/>
        <v>33256.347825999997</v>
      </c>
      <c r="AI279" s="8">
        <f t="shared" si="17"/>
        <v>2323.087825999999</v>
      </c>
      <c r="AJ279" s="8">
        <f t="shared" si="18"/>
        <v>32606.749366</v>
      </c>
      <c r="AK279" s="8">
        <f t="shared" si="19"/>
        <v>1673.4893660000016</v>
      </c>
    </row>
    <row r="280" spans="1:37" x14ac:dyDescent="0.3">
      <c r="A280" s="1">
        <v>17968</v>
      </c>
      <c r="B280" s="2" t="s">
        <v>2683</v>
      </c>
      <c r="C280" s="2" t="s">
        <v>100</v>
      </c>
      <c r="D280" s="2" t="s">
        <v>1905</v>
      </c>
      <c r="E280" s="1">
        <v>1</v>
      </c>
      <c r="F280" s="2" t="s">
        <v>2684</v>
      </c>
      <c r="G280" s="2" t="s">
        <v>2658</v>
      </c>
      <c r="H280" s="2" t="s">
        <v>31</v>
      </c>
      <c r="I280" s="2" t="s">
        <v>32</v>
      </c>
      <c r="J280" s="2" t="s">
        <v>2685</v>
      </c>
      <c r="K280" s="10" t="s">
        <v>2838</v>
      </c>
      <c r="L280" s="2" t="s">
        <v>1787</v>
      </c>
      <c r="M280" s="2" t="s">
        <v>2674</v>
      </c>
      <c r="N280" s="2" t="s">
        <v>31</v>
      </c>
      <c r="O280" s="2" t="s">
        <v>31</v>
      </c>
      <c r="P280" s="2" t="s">
        <v>2686</v>
      </c>
      <c r="Q280" s="2" t="s">
        <v>59</v>
      </c>
      <c r="R280" s="2" t="s">
        <v>48</v>
      </c>
      <c r="S280" s="2" t="s">
        <v>31</v>
      </c>
      <c r="T280" s="2" t="s">
        <v>60</v>
      </c>
      <c r="U280" s="2">
        <v>0</v>
      </c>
      <c r="V280" s="10">
        <v>2001</v>
      </c>
      <c r="W280" s="10">
        <v>2288</v>
      </c>
      <c r="X280" s="11">
        <v>0</v>
      </c>
      <c r="Y280" s="11">
        <v>1</v>
      </c>
      <c r="Z280" s="2" t="s">
        <v>31</v>
      </c>
      <c r="AA280" s="2" t="s">
        <v>2687</v>
      </c>
      <c r="AB280" s="3">
        <v>38275</v>
      </c>
      <c r="AC280" s="2">
        <v>1300000</v>
      </c>
      <c r="AD280" s="2" t="s">
        <v>107</v>
      </c>
      <c r="AE280" s="2">
        <v>6.31</v>
      </c>
      <c r="AF280" s="4">
        <v>2769600</v>
      </c>
      <c r="AG280" s="8">
        <v>24725.77</v>
      </c>
      <c r="AH280" s="8">
        <f t="shared" si="16"/>
        <v>26582.675327000001</v>
      </c>
      <c r="AI280" s="8">
        <f t="shared" si="17"/>
        <v>1856.9053270000004</v>
      </c>
      <c r="AJ280" s="8">
        <f t="shared" si="18"/>
        <v>26063.434157</v>
      </c>
      <c r="AK280" s="8">
        <f t="shared" si="19"/>
        <v>1337.6641569999992</v>
      </c>
    </row>
    <row r="281" spans="1:37" x14ac:dyDescent="0.3">
      <c r="A281" s="1">
        <v>17969</v>
      </c>
      <c r="B281" s="2" t="s">
        <v>2688</v>
      </c>
      <c r="C281" s="2" t="s">
        <v>100</v>
      </c>
      <c r="D281" s="2" t="s">
        <v>1905</v>
      </c>
      <c r="E281" s="1">
        <v>1</v>
      </c>
      <c r="F281" s="2" t="s">
        <v>2689</v>
      </c>
      <c r="G281" s="2" t="s">
        <v>2658</v>
      </c>
      <c r="H281" s="2" t="s">
        <v>31</v>
      </c>
      <c r="I281" s="2" t="s">
        <v>32</v>
      </c>
      <c r="J281" s="2" t="s">
        <v>2690</v>
      </c>
      <c r="K281" s="10" t="s">
        <v>2838</v>
      </c>
      <c r="L281" s="2" t="s">
        <v>2656</v>
      </c>
      <c r="M281" s="2" t="s">
        <v>2691</v>
      </c>
      <c r="N281" s="2" t="s">
        <v>31</v>
      </c>
      <c r="O281" s="2" t="s">
        <v>31</v>
      </c>
      <c r="P281" s="2" t="s">
        <v>2692</v>
      </c>
      <c r="Q281" s="2" t="s">
        <v>59</v>
      </c>
      <c r="R281" s="2" t="s">
        <v>48</v>
      </c>
      <c r="S281" s="2" t="s">
        <v>31</v>
      </c>
      <c r="T281" s="2" t="s">
        <v>60</v>
      </c>
      <c r="U281" s="2">
        <v>0</v>
      </c>
      <c r="V281" s="10">
        <v>2001</v>
      </c>
      <c r="W281" s="10">
        <v>1974</v>
      </c>
      <c r="X281" s="11">
        <v>0</v>
      </c>
      <c r="Y281" s="11">
        <v>1</v>
      </c>
      <c r="Z281" s="2" t="s">
        <v>31</v>
      </c>
      <c r="AA281" s="2" t="s">
        <v>2693</v>
      </c>
      <c r="AB281" s="3">
        <v>45575</v>
      </c>
      <c r="AC281" s="2">
        <v>2474000</v>
      </c>
      <c r="AD281" s="2" t="s">
        <v>107</v>
      </c>
      <c r="AE281" s="2">
        <v>4.53</v>
      </c>
      <c r="AF281" s="4">
        <v>2417000</v>
      </c>
      <c r="AG281" s="8">
        <v>21115.15</v>
      </c>
      <c r="AH281" s="8">
        <f t="shared" si="16"/>
        <v>22700.897765000002</v>
      </c>
      <c r="AI281" s="8">
        <f t="shared" si="17"/>
        <v>1585.7477650000001</v>
      </c>
      <c r="AJ281" s="8">
        <f t="shared" si="18"/>
        <v>22257.479615000004</v>
      </c>
      <c r="AK281" s="8">
        <f t="shared" si="19"/>
        <v>1142.3296150000024</v>
      </c>
    </row>
    <row r="282" spans="1:37" x14ac:dyDescent="0.3">
      <c r="A282" s="1">
        <v>17970</v>
      </c>
      <c r="B282" s="2" t="s">
        <v>2694</v>
      </c>
      <c r="C282" s="2" t="s">
        <v>100</v>
      </c>
      <c r="D282" s="2" t="s">
        <v>1905</v>
      </c>
      <c r="E282" s="1">
        <v>1</v>
      </c>
      <c r="F282" s="2" t="s">
        <v>2695</v>
      </c>
      <c r="G282" s="2" t="s">
        <v>2658</v>
      </c>
      <c r="H282" s="2" t="s">
        <v>31</v>
      </c>
      <c r="I282" s="2" t="s">
        <v>32</v>
      </c>
      <c r="J282" s="2" t="s">
        <v>2696</v>
      </c>
      <c r="K282" s="10" t="s">
        <v>2838</v>
      </c>
      <c r="L282" s="2" t="s">
        <v>2654</v>
      </c>
      <c r="M282" s="2" t="s">
        <v>346</v>
      </c>
      <c r="N282" s="2" t="s">
        <v>2670</v>
      </c>
      <c r="O282" s="2" t="s">
        <v>2697</v>
      </c>
      <c r="P282" s="2" t="s">
        <v>2698</v>
      </c>
      <c r="Q282" s="2" t="s">
        <v>59</v>
      </c>
      <c r="R282" s="2" t="s">
        <v>48</v>
      </c>
      <c r="S282" s="2" t="s">
        <v>31</v>
      </c>
      <c r="T282" s="2" t="s">
        <v>60</v>
      </c>
      <c r="U282" s="2">
        <v>0</v>
      </c>
      <c r="V282" s="10">
        <v>2001</v>
      </c>
      <c r="W282" s="10">
        <v>2435</v>
      </c>
      <c r="X282" s="11">
        <v>0</v>
      </c>
      <c r="Y282" s="11">
        <v>1</v>
      </c>
      <c r="Z282" s="2" t="s">
        <v>31</v>
      </c>
      <c r="AA282" s="2" t="s">
        <v>2699</v>
      </c>
      <c r="AB282" s="3">
        <v>43208</v>
      </c>
      <c r="AC282" s="2">
        <v>1</v>
      </c>
      <c r="AD282" s="2" t="s">
        <v>39</v>
      </c>
      <c r="AE282" s="2">
        <v>7.13</v>
      </c>
      <c r="AF282" s="4">
        <v>2907300</v>
      </c>
      <c r="AG282" s="8">
        <v>29770.75</v>
      </c>
      <c r="AH282" s="8">
        <f t="shared" si="16"/>
        <v>32006.533324999997</v>
      </c>
      <c r="AI282" s="8">
        <f t="shared" si="17"/>
        <v>2235.7833249999967</v>
      </c>
      <c r="AJ282" s="8">
        <f t="shared" si="18"/>
        <v>31381.347575</v>
      </c>
      <c r="AK282" s="8">
        <f t="shared" si="19"/>
        <v>1610.5975749999998</v>
      </c>
    </row>
    <row r="283" spans="1:37" x14ac:dyDescent="0.3">
      <c r="A283" s="1">
        <v>17971</v>
      </c>
      <c r="B283" s="2" t="s">
        <v>2700</v>
      </c>
      <c r="C283" s="2" t="s">
        <v>100</v>
      </c>
      <c r="D283" s="2" t="s">
        <v>1905</v>
      </c>
      <c r="E283" s="1">
        <v>1</v>
      </c>
      <c r="F283" s="2" t="s">
        <v>2701</v>
      </c>
      <c r="G283" s="2" t="s">
        <v>2658</v>
      </c>
      <c r="H283" s="2" t="s">
        <v>31</v>
      </c>
      <c r="I283" s="2" t="s">
        <v>32</v>
      </c>
      <c r="J283" s="2" t="s">
        <v>2702</v>
      </c>
      <c r="K283" s="10" t="s">
        <v>2838</v>
      </c>
      <c r="L283" s="2" t="s">
        <v>2649</v>
      </c>
      <c r="M283" s="2" t="s">
        <v>2703</v>
      </c>
      <c r="N283" s="2" t="s">
        <v>31</v>
      </c>
      <c r="O283" s="2" t="s">
        <v>31</v>
      </c>
      <c r="P283" s="2" t="s">
        <v>2704</v>
      </c>
      <c r="Q283" s="2" t="s">
        <v>2652</v>
      </c>
      <c r="R283" s="2" t="s">
        <v>2644</v>
      </c>
      <c r="S283" s="2" t="s">
        <v>31</v>
      </c>
      <c r="T283" s="2" t="s">
        <v>2653</v>
      </c>
      <c r="U283" s="2">
        <v>0</v>
      </c>
      <c r="V283" s="10">
        <v>2001</v>
      </c>
      <c r="W283" s="10">
        <v>3177</v>
      </c>
      <c r="X283" s="11">
        <v>0</v>
      </c>
      <c r="Y283" s="11">
        <v>1</v>
      </c>
      <c r="Z283" s="2" t="s">
        <v>31</v>
      </c>
      <c r="AA283" s="2" t="s">
        <v>2705</v>
      </c>
      <c r="AB283" s="3">
        <v>42187</v>
      </c>
      <c r="AC283" s="2">
        <v>2275000</v>
      </c>
      <c r="AD283" s="2" t="s">
        <v>39</v>
      </c>
      <c r="AE283" s="2">
        <v>9.48</v>
      </c>
      <c r="AF283" s="4">
        <v>3675900</v>
      </c>
      <c r="AG283" s="8">
        <v>37641.22</v>
      </c>
      <c r="AH283" s="8">
        <f t="shared" si="16"/>
        <v>40468.075621999997</v>
      </c>
      <c r="AI283" s="8">
        <f t="shared" si="17"/>
        <v>2826.8556219999955</v>
      </c>
      <c r="AJ283" s="8">
        <f t="shared" si="18"/>
        <v>39677.610002000001</v>
      </c>
      <c r="AK283" s="8">
        <f t="shared" si="19"/>
        <v>2036.3900020000001</v>
      </c>
    </row>
    <row r="284" spans="1:37" x14ac:dyDescent="0.3">
      <c r="A284" s="1">
        <v>17972</v>
      </c>
      <c r="B284" s="2" t="s">
        <v>2706</v>
      </c>
      <c r="C284" s="2" t="s">
        <v>100</v>
      </c>
      <c r="D284" s="2" t="s">
        <v>1905</v>
      </c>
      <c r="E284" s="1">
        <v>1</v>
      </c>
      <c r="F284" s="2" t="s">
        <v>2707</v>
      </c>
      <c r="G284" s="2" t="s">
        <v>2658</v>
      </c>
      <c r="H284" s="2" t="s">
        <v>31</v>
      </c>
      <c r="I284" s="2" t="s">
        <v>32</v>
      </c>
      <c r="J284" s="2" t="s">
        <v>2708</v>
      </c>
      <c r="K284" s="10" t="s">
        <v>2838</v>
      </c>
      <c r="L284" s="2" t="s">
        <v>2709</v>
      </c>
      <c r="M284" s="2" t="s">
        <v>2710</v>
      </c>
      <c r="N284" s="2" t="s">
        <v>31</v>
      </c>
      <c r="O284" s="2" t="s">
        <v>31</v>
      </c>
      <c r="P284" s="2" t="s">
        <v>2711</v>
      </c>
      <c r="Q284" s="2" t="s">
        <v>59</v>
      </c>
      <c r="R284" s="2" t="s">
        <v>48</v>
      </c>
      <c r="S284" s="2" t="s">
        <v>31</v>
      </c>
      <c r="T284" s="2" t="s">
        <v>60</v>
      </c>
      <c r="U284" s="2">
        <v>0</v>
      </c>
      <c r="V284" s="10">
        <v>2001</v>
      </c>
      <c r="W284" s="10">
        <v>2660</v>
      </c>
      <c r="X284" s="11">
        <v>0</v>
      </c>
      <c r="Y284" s="11">
        <v>1</v>
      </c>
      <c r="Z284" s="2" t="s">
        <v>31</v>
      </c>
      <c r="AA284" s="2" t="s">
        <v>2712</v>
      </c>
      <c r="AB284" s="3">
        <v>41737</v>
      </c>
      <c r="AC284" s="2">
        <v>1</v>
      </c>
      <c r="AD284" s="2" t="s">
        <v>39</v>
      </c>
      <c r="AE284" s="2">
        <v>7.25</v>
      </c>
      <c r="AF284" s="4">
        <v>3091500</v>
      </c>
      <c r="AG284" s="8">
        <v>31656.959999999999</v>
      </c>
      <c r="AH284" s="8">
        <f t="shared" si="16"/>
        <v>34034.397696</v>
      </c>
      <c r="AI284" s="8">
        <f t="shared" si="17"/>
        <v>2377.4376960000009</v>
      </c>
      <c r="AJ284" s="8">
        <f t="shared" si="18"/>
        <v>33369.601536000002</v>
      </c>
      <c r="AK284" s="8">
        <f t="shared" si="19"/>
        <v>1712.6415360000028</v>
      </c>
    </row>
    <row r="285" spans="1:37" x14ac:dyDescent="0.3">
      <c r="A285" s="1">
        <v>17973</v>
      </c>
      <c r="B285" s="2" t="s">
        <v>2713</v>
      </c>
      <c r="C285" s="2" t="s">
        <v>100</v>
      </c>
      <c r="D285" s="2" t="s">
        <v>1905</v>
      </c>
      <c r="E285" s="1">
        <v>1</v>
      </c>
      <c r="F285" s="2" t="s">
        <v>2714</v>
      </c>
      <c r="G285" s="2" t="s">
        <v>2658</v>
      </c>
      <c r="H285" s="2" t="s">
        <v>31</v>
      </c>
      <c r="I285" s="2" t="s">
        <v>32</v>
      </c>
      <c r="J285" s="2" t="s">
        <v>2715</v>
      </c>
      <c r="K285" s="10" t="s">
        <v>2838</v>
      </c>
      <c r="L285" s="2" t="s">
        <v>2716</v>
      </c>
      <c r="M285" s="2" t="s">
        <v>2717</v>
      </c>
      <c r="N285" s="2" t="s">
        <v>31</v>
      </c>
      <c r="O285" s="2" t="s">
        <v>31</v>
      </c>
      <c r="P285" s="2" t="s">
        <v>2718</v>
      </c>
      <c r="Q285" s="2" t="s">
        <v>59</v>
      </c>
      <c r="R285" s="2" t="s">
        <v>48</v>
      </c>
      <c r="S285" s="2" t="s">
        <v>31</v>
      </c>
      <c r="T285" s="2" t="s">
        <v>60</v>
      </c>
      <c r="U285" s="2">
        <v>0</v>
      </c>
      <c r="V285" s="10">
        <v>2001</v>
      </c>
      <c r="W285" s="10">
        <v>2320</v>
      </c>
      <c r="X285" s="11">
        <v>0</v>
      </c>
      <c r="Y285" s="11">
        <v>1</v>
      </c>
      <c r="Z285" s="2" t="s">
        <v>31</v>
      </c>
      <c r="AA285" s="2" t="s">
        <v>2719</v>
      </c>
      <c r="AB285" s="3">
        <v>41213</v>
      </c>
      <c r="AC285" s="2">
        <v>1850000</v>
      </c>
      <c r="AD285" s="2" t="s">
        <v>107</v>
      </c>
      <c r="AE285" s="2">
        <v>6.8</v>
      </c>
      <c r="AF285" s="4">
        <v>2793100</v>
      </c>
      <c r="AG285" s="8">
        <v>24966.41</v>
      </c>
      <c r="AH285" s="8">
        <f t="shared" si="16"/>
        <v>26841.387391</v>
      </c>
      <c r="AI285" s="8">
        <f t="shared" si="17"/>
        <v>1874.9773910000004</v>
      </c>
      <c r="AJ285" s="8">
        <f t="shared" si="18"/>
        <v>26317.092780999999</v>
      </c>
      <c r="AK285" s="8">
        <f t="shared" si="19"/>
        <v>1350.6827809999995</v>
      </c>
    </row>
    <row r="286" spans="1:37" x14ac:dyDescent="0.3">
      <c r="A286" s="1">
        <v>17974</v>
      </c>
      <c r="B286" s="2" t="s">
        <v>2720</v>
      </c>
      <c r="C286" s="2" t="s">
        <v>100</v>
      </c>
      <c r="D286" s="2" t="s">
        <v>1905</v>
      </c>
      <c r="E286" s="1">
        <v>1</v>
      </c>
      <c r="F286" s="2" t="s">
        <v>2721</v>
      </c>
      <c r="G286" s="2" t="s">
        <v>2658</v>
      </c>
      <c r="H286" s="2" t="s">
        <v>31</v>
      </c>
      <c r="I286" s="2" t="s">
        <v>32</v>
      </c>
      <c r="J286" s="2" t="s">
        <v>2722</v>
      </c>
      <c r="K286" s="10" t="s">
        <v>2838</v>
      </c>
      <c r="L286" s="2" t="s">
        <v>2667</v>
      </c>
      <c r="M286" s="2" t="s">
        <v>2723</v>
      </c>
      <c r="N286" s="2" t="s">
        <v>31</v>
      </c>
      <c r="O286" s="2" t="s">
        <v>31</v>
      </c>
      <c r="P286" s="2" t="s">
        <v>2724</v>
      </c>
      <c r="Q286" s="2" t="s">
        <v>59</v>
      </c>
      <c r="R286" s="2" t="s">
        <v>48</v>
      </c>
      <c r="S286" s="2" t="s">
        <v>31</v>
      </c>
      <c r="T286" s="2" t="s">
        <v>60</v>
      </c>
      <c r="U286" s="2">
        <v>0</v>
      </c>
      <c r="V286" s="10">
        <v>2001</v>
      </c>
      <c r="W286" s="10">
        <v>2656</v>
      </c>
      <c r="X286" s="11">
        <v>0</v>
      </c>
      <c r="Y286" s="11">
        <v>1</v>
      </c>
      <c r="Z286" s="2" t="s">
        <v>31</v>
      </c>
      <c r="AA286" s="2" t="s">
        <v>2725</v>
      </c>
      <c r="AB286" s="3">
        <v>41165</v>
      </c>
      <c r="AC286" s="2">
        <v>1</v>
      </c>
      <c r="AD286" s="2" t="s">
        <v>107</v>
      </c>
      <c r="AE286" s="2">
        <v>7.21</v>
      </c>
      <c r="AF286" s="4">
        <v>3088000</v>
      </c>
      <c r="AG286" s="8">
        <v>27986.19</v>
      </c>
      <c r="AH286" s="8">
        <f t="shared" si="16"/>
        <v>30087.952868999997</v>
      </c>
      <c r="AI286" s="8">
        <f t="shared" si="17"/>
        <v>2101.7628689999983</v>
      </c>
      <c r="AJ286" s="8">
        <f t="shared" si="18"/>
        <v>29500.242879000001</v>
      </c>
      <c r="AK286" s="8">
        <f t="shared" si="19"/>
        <v>1514.0528790000026</v>
      </c>
    </row>
    <row r="287" spans="1:37" x14ac:dyDescent="0.3">
      <c r="A287" s="1">
        <v>17975</v>
      </c>
      <c r="B287" s="2" t="s">
        <v>2726</v>
      </c>
      <c r="C287" s="2" t="s">
        <v>100</v>
      </c>
      <c r="D287" s="2" t="s">
        <v>1905</v>
      </c>
      <c r="E287" s="1">
        <v>1</v>
      </c>
      <c r="F287" s="2" t="s">
        <v>2727</v>
      </c>
      <c r="G287" s="2" t="s">
        <v>2658</v>
      </c>
      <c r="H287" s="2" t="s">
        <v>31</v>
      </c>
      <c r="I287" s="2" t="s">
        <v>32</v>
      </c>
      <c r="J287" s="2" t="s">
        <v>2728</v>
      </c>
      <c r="K287" s="10" t="s">
        <v>2838</v>
      </c>
      <c r="L287" s="2" t="s">
        <v>2729</v>
      </c>
      <c r="M287" s="2" t="s">
        <v>2663</v>
      </c>
      <c r="N287" s="2" t="s">
        <v>31</v>
      </c>
      <c r="O287" s="2" t="s">
        <v>31</v>
      </c>
      <c r="P287" s="2" t="s">
        <v>2730</v>
      </c>
      <c r="Q287" s="2" t="s">
        <v>59</v>
      </c>
      <c r="R287" s="2" t="s">
        <v>48</v>
      </c>
      <c r="S287" s="2" t="s">
        <v>31</v>
      </c>
      <c r="T287" s="2" t="s">
        <v>60</v>
      </c>
      <c r="U287" s="2">
        <v>0</v>
      </c>
      <c r="V287" s="10">
        <v>2001</v>
      </c>
      <c r="W287" s="10">
        <v>2360</v>
      </c>
      <c r="X287" s="11">
        <v>0</v>
      </c>
      <c r="Y287" s="11">
        <v>1</v>
      </c>
      <c r="Z287" s="2" t="s">
        <v>31</v>
      </c>
      <c r="AA287" s="2" t="s">
        <v>2731</v>
      </c>
      <c r="AB287" s="3">
        <v>37692</v>
      </c>
      <c r="AC287" s="2">
        <v>1349000</v>
      </c>
      <c r="AD287" s="2" t="s">
        <v>39</v>
      </c>
      <c r="AE287" s="2">
        <v>5.56</v>
      </c>
      <c r="AF287" s="4">
        <v>2842300</v>
      </c>
      <c r="AG287" s="8">
        <v>29105.15</v>
      </c>
      <c r="AH287" s="8">
        <f t="shared" si="16"/>
        <v>31290.946765000001</v>
      </c>
      <c r="AI287" s="8">
        <f t="shared" si="17"/>
        <v>2185.7967649999991</v>
      </c>
      <c r="AJ287" s="8">
        <f t="shared" si="18"/>
        <v>30679.738615000002</v>
      </c>
      <c r="AK287" s="8">
        <f t="shared" si="19"/>
        <v>1574.5886150000006</v>
      </c>
    </row>
    <row r="288" spans="1:37" x14ac:dyDescent="0.3">
      <c r="A288" s="1">
        <v>17976</v>
      </c>
      <c r="B288" s="2" t="s">
        <v>2732</v>
      </c>
      <c r="C288" s="2" t="s">
        <v>100</v>
      </c>
      <c r="D288" s="2" t="s">
        <v>1905</v>
      </c>
      <c r="E288" s="1">
        <v>1</v>
      </c>
      <c r="F288" s="2" t="s">
        <v>2733</v>
      </c>
      <c r="G288" s="2" t="s">
        <v>2658</v>
      </c>
      <c r="H288" s="2" t="s">
        <v>31</v>
      </c>
      <c r="I288" s="2" t="s">
        <v>32</v>
      </c>
      <c r="J288" s="2" t="s">
        <v>2734</v>
      </c>
      <c r="K288" s="10" t="s">
        <v>2838</v>
      </c>
      <c r="L288" s="2" t="s">
        <v>2735</v>
      </c>
      <c r="M288" s="2" t="s">
        <v>2736</v>
      </c>
      <c r="N288" s="2" t="s">
        <v>31</v>
      </c>
      <c r="O288" s="2" t="s">
        <v>31</v>
      </c>
      <c r="P288" s="2" t="s">
        <v>2737</v>
      </c>
      <c r="Q288" s="2" t="s">
        <v>59</v>
      </c>
      <c r="R288" s="2" t="s">
        <v>48</v>
      </c>
      <c r="S288" s="2" t="s">
        <v>31</v>
      </c>
      <c r="T288" s="2" t="s">
        <v>60</v>
      </c>
      <c r="U288" s="2">
        <v>0</v>
      </c>
      <c r="V288" s="10">
        <v>2001</v>
      </c>
      <c r="W288" s="10">
        <v>2641</v>
      </c>
      <c r="X288" s="11">
        <v>0</v>
      </c>
      <c r="Y288" s="11">
        <v>1</v>
      </c>
      <c r="Z288" s="2" t="s">
        <v>31</v>
      </c>
      <c r="AA288" s="2" t="s">
        <v>2738</v>
      </c>
      <c r="AB288" s="3">
        <v>38266</v>
      </c>
      <c r="AC288" s="2">
        <v>1816000</v>
      </c>
      <c r="AD288" s="2" t="s">
        <v>39</v>
      </c>
      <c r="AE288" s="2">
        <v>7.83</v>
      </c>
      <c r="AF288" s="4">
        <v>3173200</v>
      </c>
      <c r="AG288" s="8">
        <v>32493.57</v>
      </c>
      <c r="AH288" s="8">
        <f t="shared" si="16"/>
        <v>34933.837106999999</v>
      </c>
      <c r="AI288" s="8">
        <f t="shared" si="17"/>
        <v>2440.2671069999997</v>
      </c>
      <c r="AJ288" s="8">
        <f t="shared" si="18"/>
        <v>34251.472137000004</v>
      </c>
      <c r="AK288" s="8">
        <f t="shared" si="19"/>
        <v>1757.9021370000046</v>
      </c>
    </row>
    <row r="289" spans="1:37" x14ac:dyDescent="0.3">
      <c r="A289" s="1">
        <v>17977</v>
      </c>
      <c r="B289" s="2" t="s">
        <v>2739</v>
      </c>
      <c r="C289" s="2" t="s">
        <v>100</v>
      </c>
      <c r="D289" s="2" t="s">
        <v>1905</v>
      </c>
      <c r="E289" s="1">
        <v>1</v>
      </c>
      <c r="F289" s="2" t="s">
        <v>2740</v>
      </c>
      <c r="G289" s="2" t="s">
        <v>2658</v>
      </c>
      <c r="H289" s="2" t="s">
        <v>31</v>
      </c>
      <c r="I289" s="2" t="s">
        <v>32</v>
      </c>
      <c r="J289" s="2" t="s">
        <v>2741</v>
      </c>
      <c r="K289" s="10" t="s">
        <v>2838</v>
      </c>
      <c r="L289" s="2" t="s">
        <v>2669</v>
      </c>
      <c r="M289" s="2" t="s">
        <v>2662</v>
      </c>
      <c r="N289" s="2" t="s">
        <v>31</v>
      </c>
      <c r="O289" s="2" t="s">
        <v>31</v>
      </c>
      <c r="P289" s="2" t="s">
        <v>2742</v>
      </c>
      <c r="Q289" s="2" t="s">
        <v>59</v>
      </c>
      <c r="R289" s="2" t="s">
        <v>48</v>
      </c>
      <c r="S289" s="2" t="s">
        <v>31</v>
      </c>
      <c r="T289" s="2" t="s">
        <v>60</v>
      </c>
      <c r="U289" s="2">
        <v>0</v>
      </c>
      <c r="V289" s="10">
        <v>2001</v>
      </c>
      <c r="W289" s="10">
        <v>2313</v>
      </c>
      <c r="X289" s="11">
        <v>0</v>
      </c>
      <c r="Y289" s="11">
        <v>1</v>
      </c>
      <c r="Z289" s="2" t="s">
        <v>31</v>
      </c>
      <c r="AA289" s="2" t="s">
        <v>2743</v>
      </c>
      <c r="AB289" s="3">
        <v>41325</v>
      </c>
      <c r="AC289" s="2">
        <v>100</v>
      </c>
      <c r="AD289" s="2" t="s">
        <v>39</v>
      </c>
      <c r="AE289" s="2">
        <v>7.42</v>
      </c>
      <c r="AF289" s="4">
        <v>2791100</v>
      </c>
      <c r="AG289" s="8">
        <v>28580.86</v>
      </c>
      <c r="AH289" s="8">
        <f t="shared" si="16"/>
        <v>30727.282585999998</v>
      </c>
      <c r="AI289" s="8">
        <f t="shared" si="17"/>
        <v>2146.422585999997</v>
      </c>
      <c r="AJ289" s="8">
        <f t="shared" si="18"/>
        <v>30127.084526000002</v>
      </c>
      <c r="AK289" s="8">
        <f t="shared" si="19"/>
        <v>1546.2245260000018</v>
      </c>
    </row>
    <row r="290" spans="1:37" x14ac:dyDescent="0.3">
      <c r="A290" s="1">
        <v>17978</v>
      </c>
      <c r="B290" s="2" t="s">
        <v>2744</v>
      </c>
      <c r="C290" s="2" t="s">
        <v>100</v>
      </c>
      <c r="D290" s="2" t="s">
        <v>1905</v>
      </c>
      <c r="E290" s="1">
        <v>1</v>
      </c>
      <c r="F290" s="2" t="s">
        <v>2745</v>
      </c>
      <c r="G290" s="2" t="s">
        <v>2658</v>
      </c>
      <c r="H290" s="2" t="s">
        <v>31</v>
      </c>
      <c r="I290" s="2" t="s">
        <v>32</v>
      </c>
      <c r="J290" s="2" t="s">
        <v>2746</v>
      </c>
      <c r="K290" s="10" t="s">
        <v>2838</v>
      </c>
      <c r="L290" s="2" t="s">
        <v>2747</v>
      </c>
      <c r="M290" s="2" t="s">
        <v>2675</v>
      </c>
      <c r="N290" s="2" t="s">
        <v>2748</v>
      </c>
      <c r="O290" s="2" t="s">
        <v>2672</v>
      </c>
      <c r="P290" s="2" t="s">
        <v>2749</v>
      </c>
      <c r="Q290" s="2" t="s">
        <v>59</v>
      </c>
      <c r="R290" s="2" t="s">
        <v>48</v>
      </c>
      <c r="S290" s="2" t="s">
        <v>31</v>
      </c>
      <c r="T290" s="2" t="s">
        <v>60</v>
      </c>
      <c r="U290" s="2">
        <v>0</v>
      </c>
      <c r="V290" s="10">
        <v>2001</v>
      </c>
      <c r="W290" s="10">
        <v>2732</v>
      </c>
      <c r="X290" s="11">
        <v>0</v>
      </c>
      <c r="Y290" s="11">
        <v>1</v>
      </c>
      <c r="Z290" s="2" t="s">
        <v>31</v>
      </c>
      <c r="AA290" s="2" t="s">
        <v>2750</v>
      </c>
      <c r="AB290" s="3">
        <v>37693</v>
      </c>
      <c r="AC290" s="2">
        <v>1615000</v>
      </c>
      <c r="AD290" s="2" t="s">
        <v>107</v>
      </c>
      <c r="AE290" s="2">
        <v>7.81</v>
      </c>
      <c r="AF290" s="4">
        <v>3149500</v>
      </c>
      <c r="AG290" s="8">
        <v>28615.95</v>
      </c>
      <c r="AH290" s="8">
        <f t="shared" si="16"/>
        <v>30765.007845</v>
      </c>
      <c r="AI290" s="8">
        <f t="shared" si="17"/>
        <v>2149.0578449999994</v>
      </c>
      <c r="AJ290" s="8">
        <f t="shared" si="18"/>
        <v>30164.072895000001</v>
      </c>
      <c r="AK290" s="8">
        <f t="shared" si="19"/>
        <v>1548.1228950000004</v>
      </c>
    </row>
    <row r="291" spans="1:37" x14ac:dyDescent="0.3">
      <c r="A291" s="1">
        <v>17979</v>
      </c>
      <c r="B291" s="2" t="s">
        <v>2751</v>
      </c>
      <c r="C291" s="2" t="s">
        <v>100</v>
      </c>
      <c r="D291" s="2" t="s">
        <v>1905</v>
      </c>
      <c r="E291" s="1">
        <v>1</v>
      </c>
      <c r="F291" s="2" t="s">
        <v>2752</v>
      </c>
      <c r="G291" s="2" t="s">
        <v>2658</v>
      </c>
      <c r="H291" s="2" t="s">
        <v>31</v>
      </c>
      <c r="I291" s="2" t="s">
        <v>32</v>
      </c>
      <c r="J291" s="2" t="s">
        <v>2753</v>
      </c>
      <c r="K291" s="10" t="s">
        <v>2838</v>
      </c>
      <c r="L291" s="2" t="s">
        <v>2754</v>
      </c>
      <c r="M291" s="2" t="s">
        <v>2755</v>
      </c>
      <c r="N291" s="2" t="s">
        <v>31</v>
      </c>
      <c r="O291" s="2" t="s">
        <v>31</v>
      </c>
      <c r="P291" s="2" t="s">
        <v>2756</v>
      </c>
      <c r="Q291" s="2" t="s">
        <v>59</v>
      </c>
      <c r="R291" s="2" t="s">
        <v>48</v>
      </c>
      <c r="S291" s="2" t="s">
        <v>31</v>
      </c>
      <c r="T291" s="2" t="s">
        <v>60</v>
      </c>
      <c r="U291" s="2">
        <v>0</v>
      </c>
      <c r="V291" s="10">
        <v>2001</v>
      </c>
      <c r="W291" s="10">
        <v>2543</v>
      </c>
      <c r="X291" s="11">
        <v>0</v>
      </c>
      <c r="Y291" s="11">
        <v>1</v>
      </c>
      <c r="Z291" s="2" t="s">
        <v>31</v>
      </c>
      <c r="AA291" s="2" t="s">
        <v>2757</v>
      </c>
      <c r="AB291" s="3">
        <v>40504</v>
      </c>
      <c r="AC291" s="2">
        <v>1615000</v>
      </c>
      <c r="AD291" s="2" t="s">
        <v>39</v>
      </c>
      <c r="AE291" s="2">
        <v>7.4</v>
      </c>
      <c r="AF291" s="4">
        <v>2998500</v>
      </c>
      <c r="AG291" s="8">
        <v>30704.639999999999</v>
      </c>
      <c r="AH291" s="8">
        <f t="shared" si="16"/>
        <v>33010.558463999994</v>
      </c>
      <c r="AI291" s="8">
        <f t="shared" si="17"/>
        <v>2305.9184639999949</v>
      </c>
      <c r="AJ291" s="8">
        <f t="shared" si="18"/>
        <v>32365.761023999999</v>
      </c>
      <c r="AK291" s="8">
        <f t="shared" si="19"/>
        <v>1661.121024</v>
      </c>
    </row>
    <row r="292" spans="1:37" x14ac:dyDescent="0.3">
      <c r="A292" s="1">
        <v>17980</v>
      </c>
      <c r="B292" s="2" t="s">
        <v>2758</v>
      </c>
      <c r="C292" s="2" t="s">
        <v>100</v>
      </c>
      <c r="D292" s="2" t="s">
        <v>1905</v>
      </c>
      <c r="E292" s="1">
        <v>1</v>
      </c>
      <c r="F292" s="2" t="s">
        <v>2759</v>
      </c>
      <c r="G292" s="2" t="s">
        <v>2658</v>
      </c>
      <c r="H292" s="2" t="s">
        <v>31</v>
      </c>
      <c r="I292" s="2" t="s">
        <v>32</v>
      </c>
      <c r="J292" s="2" t="s">
        <v>2760</v>
      </c>
      <c r="K292" s="10" t="s">
        <v>2838</v>
      </c>
      <c r="L292" s="2" t="s">
        <v>2761</v>
      </c>
      <c r="M292" s="2" t="s">
        <v>2665</v>
      </c>
      <c r="N292" s="2" t="s">
        <v>31</v>
      </c>
      <c r="O292" s="2" t="s">
        <v>31</v>
      </c>
      <c r="P292" s="2" t="s">
        <v>2762</v>
      </c>
      <c r="Q292" s="2" t="s">
        <v>59</v>
      </c>
      <c r="R292" s="2" t="s">
        <v>48</v>
      </c>
      <c r="S292" s="2" t="s">
        <v>31</v>
      </c>
      <c r="T292" s="2" t="s">
        <v>60</v>
      </c>
      <c r="U292" s="2">
        <v>0</v>
      </c>
      <c r="V292" s="10">
        <v>2001</v>
      </c>
      <c r="W292" s="10">
        <v>2384</v>
      </c>
      <c r="X292" s="11">
        <v>0</v>
      </c>
      <c r="Y292" s="11">
        <v>1</v>
      </c>
      <c r="Z292" s="2" t="s">
        <v>31</v>
      </c>
      <c r="AA292" s="2" t="s">
        <v>2763</v>
      </c>
      <c r="AB292" s="3">
        <v>40035</v>
      </c>
      <c r="AC292" s="2">
        <v>1542500</v>
      </c>
      <c r="AD292" s="2" t="s">
        <v>107</v>
      </c>
      <c r="AE292" s="2">
        <v>7.83</v>
      </c>
      <c r="AF292" s="4">
        <v>2852600</v>
      </c>
      <c r="AG292" s="8">
        <v>25575.69</v>
      </c>
      <c r="AH292" s="8">
        <f t="shared" si="16"/>
        <v>27496.424318999998</v>
      </c>
      <c r="AI292" s="8">
        <f t="shared" si="17"/>
        <v>1920.7343189999992</v>
      </c>
      <c r="AJ292" s="8">
        <f t="shared" si="18"/>
        <v>26959.334828999999</v>
      </c>
      <c r="AK292" s="8">
        <f t="shared" si="19"/>
        <v>1383.6448290000008</v>
      </c>
    </row>
    <row r="293" spans="1:37" x14ac:dyDescent="0.3">
      <c r="A293" s="1">
        <v>297</v>
      </c>
      <c r="B293" s="2" t="s">
        <v>1942</v>
      </c>
      <c r="C293" s="2" t="s">
        <v>1106</v>
      </c>
      <c r="D293" s="2" t="s">
        <v>101</v>
      </c>
      <c r="E293" s="1">
        <v>0</v>
      </c>
      <c r="F293" s="2" t="s">
        <v>1943</v>
      </c>
      <c r="G293" s="2" t="s">
        <v>451</v>
      </c>
      <c r="H293" s="2" t="s">
        <v>31</v>
      </c>
      <c r="I293" s="2" t="s">
        <v>1944</v>
      </c>
      <c r="J293" s="2" t="s">
        <v>31</v>
      </c>
      <c r="K293" s="10" t="s">
        <v>31</v>
      </c>
      <c r="L293" s="2" t="s">
        <v>1109</v>
      </c>
      <c r="M293" s="2" t="s">
        <v>31</v>
      </c>
      <c r="N293" s="2" t="s">
        <v>1945</v>
      </c>
      <c r="O293" s="2" t="s">
        <v>31</v>
      </c>
      <c r="P293" s="2" t="s">
        <v>1111</v>
      </c>
      <c r="Q293" s="2" t="s">
        <v>59</v>
      </c>
      <c r="R293" s="2" t="s">
        <v>48</v>
      </c>
      <c r="S293" s="2" t="s">
        <v>31</v>
      </c>
      <c r="T293" s="2" t="s">
        <v>242</v>
      </c>
      <c r="U293" s="2">
        <v>378120</v>
      </c>
      <c r="V293" s="10">
        <v>1985</v>
      </c>
      <c r="W293" s="10">
        <v>273</v>
      </c>
      <c r="X293" s="11">
        <v>0</v>
      </c>
      <c r="Y293" s="11">
        <v>0</v>
      </c>
      <c r="Z293" s="2" t="s">
        <v>380</v>
      </c>
      <c r="AA293" s="2" t="s">
        <v>1946</v>
      </c>
      <c r="AB293" s="3">
        <v>1336</v>
      </c>
      <c r="AC293" s="2">
        <v>60000</v>
      </c>
      <c r="AD293" s="2" t="s">
        <v>39</v>
      </c>
      <c r="AE293" s="2">
        <v>0</v>
      </c>
      <c r="AF293" s="4">
        <v>45975200</v>
      </c>
      <c r="AG293" s="8">
        <v>0</v>
      </c>
      <c r="AH293" s="8">
        <f t="shared" si="16"/>
        <v>0</v>
      </c>
      <c r="AI293" s="8">
        <f t="shared" si="17"/>
        <v>0</v>
      </c>
      <c r="AJ293" s="8">
        <f t="shared" si="18"/>
        <v>0</v>
      </c>
      <c r="AK293" s="8">
        <f t="shared" si="19"/>
        <v>0</v>
      </c>
    </row>
    <row r="294" spans="1:37" x14ac:dyDescent="0.3">
      <c r="A294" s="1">
        <v>302</v>
      </c>
      <c r="B294" s="2" t="s">
        <v>1947</v>
      </c>
      <c r="C294" s="2" t="s">
        <v>152</v>
      </c>
      <c r="D294" s="2" t="s">
        <v>28</v>
      </c>
      <c r="E294" s="1">
        <v>0</v>
      </c>
      <c r="F294" s="2" t="s">
        <v>1948</v>
      </c>
      <c r="G294" s="2" t="s">
        <v>1949</v>
      </c>
      <c r="H294" s="2" t="s">
        <v>31</v>
      </c>
      <c r="I294" s="2" t="s">
        <v>32</v>
      </c>
      <c r="J294" s="2" t="s">
        <v>1950</v>
      </c>
      <c r="K294" s="10" t="s">
        <v>2839</v>
      </c>
      <c r="L294" s="2" t="s">
        <v>1951</v>
      </c>
      <c r="M294" s="2" t="s">
        <v>1952</v>
      </c>
      <c r="N294" s="2" t="s">
        <v>31</v>
      </c>
      <c r="O294" s="2" t="s">
        <v>31</v>
      </c>
      <c r="P294" s="2" t="s">
        <v>1953</v>
      </c>
      <c r="Q294" s="2" t="s">
        <v>1954</v>
      </c>
      <c r="R294" s="2" t="s">
        <v>48</v>
      </c>
      <c r="S294" s="2" t="s">
        <v>31</v>
      </c>
      <c r="T294" s="2" t="s">
        <v>1955</v>
      </c>
      <c r="U294" s="2">
        <v>0</v>
      </c>
      <c r="V294" s="10">
        <v>1900</v>
      </c>
      <c r="W294" s="10">
        <v>6004.95</v>
      </c>
      <c r="X294" s="11">
        <v>3</v>
      </c>
      <c r="Y294" s="11">
        <v>0</v>
      </c>
      <c r="Z294" s="2" t="s">
        <v>31</v>
      </c>
      <c r="AA294" s="2" t="s">
        <v>1956</v>
      </c>
      <c r="AB294" s="3">
        <v>40543</v>
      </c>
      <c r="AC294" s="2">
        <v>10</v>
      </c>
      <c r="AD294" s="2" t="s">
        <v>39</v>
      </c>
      <c r="AE294" s="2">
        <v>4.9400000000000004</v>
      </c>
      <c r="AF294" s="4">
        <v>3148000</v>
      </c>
      <c r="AG294" s="8">
        <v>54019.68</v>
      </c>
      <c r="AH294" s="8">
        <f t="shared" si="16"/>
        <v>58076.557967999994</v>
      </c>
      <c r="AI294" s="8">
        <f t="shared" si="17"/>
        <v>4056.8779679999934</v>
      </c>
      <c r="AJ294" s="8">
        <f t="shared" si="18"/>
        <v>56942.144688</v>
      </c>
      <c r="AK294" s="8">
        <f t="shared" si="19"/>
        <v>2922.464688</v>
      </c>
    </row>
    <row r="295" spans="1:37" x14ac:dyDescent="0.3">
      <c r="A295" s="1">
        <v>303</v>
      </c>
      <c r="B295" s="2" t="s">
        <v>1957</v>
      </c>
      <c r="C295" s="2" t="s">
        <v>100</v>
      </c>
      <c r="D295" s="2" t="s">
        <v>1905</v>
      </c>
      <c r="E295" s="1">
        <v>1</v>
      </c>
      <c r="F295" s="2" t="s">
        <v>1958</v>
      </c>
      <c r="G295" s="2" t="s">
        <v>1959</v>
      </c>
      <c r="H295" s="2" t="s">
        <v>31</v>
      </c>
      <c r="I295" s="2" t="s">
        <v>32</v>
      </c>
      <c r="J295" s="2" t="s">
        <v>1960</v>
      </c>
      <c r="K295" s="10" t="s">
        <v>2839</v>
      </c>
      <c r="L295" s="2" t="s">
        <v>1961</v>
      </c>
      <c r="M295" s="2" t="s">
        <v>1962</v>
      </c>
      <c r="N295" s="2" t="s">
        <v>31</v>
      </c>
      <c r="O295" s="2" t="s">
        <v>31</v>
      </c>
      <c r="P295" s="2" t="s">
        <v>1963</v>
      </c>
      <c r="Q295" s="2" t="s">
        <v>59</v>
      </c>
      <c r="R295" s="2" t="s">
        <v>48</v>
      </c>
      <c r="S295" s="2" t="s">
        <v>31</v>
      </c>
      <c r="T295" s="2" t="s">
        <v>60</v>
      </c>
      <c r="U295" s="2">
        <v>0</v>
      </c>
      <c r="V295" s="10">
        <v>1999</v>
      </c>
      <c r="W295" s="10">
        <v>2835</v>
      </c>
      <c r="X295" s="11">
        <v>0</v>
      </c>
      <c r="Y295" s="11">
        <v>1</v>
      </c>
      <c r="Z295" s="2" t="s">
        <v>31</v>
      </c>
      <c r="AA295" s="2" t="s">
        <v>1964</v>
      </c>
      <c r="AB295" s="3">
        <v>41698</v>
      </c>
      <c r="AC295" s="2">
        <v>2200000</v>
      </c>
      <c r="AD295" s="2" t="s">
        <v>107</v>
      </c>
      <c r="AE295" s="2">
        <v>7.11</v>
      </c>
      <c r="AF295" s="4">
        <v>3139600</v>
      </c>
      <c r="AG295" s="8">
        <v>28514.57</v>
      </c>
      <c r="AH295" s="8">
        <f t="shared" si="16"/>
        <v>30656.014206999997</v>
      </c>
      <c r="AI295" s="8">
        <f t="shared" si="17"/>
        <v>2141.4442069999968</v>
      </c>
      <c r="AJ295" s="8">
        <f t="shared" si="18"/>
        <v>30057.208237000003</v>
      </c>
      <c r="AK295" s="8">
        <f t="shared" si="19"/>
        <v>1542.6382370000028</v>
      </c>
    </row>
    <row r="296" spans="1:37" x14ac:dyDescent="0.3">
      <c r="A296" s="1">
        <v>304</v>
      </c>
      <c r="B296" s="2" t="s">
        <v>1965</v>
      </c>
      <c r="C296" s="2" t="s">
        <v>100</v>
      </c>
      <c r="D296" s="2" t="s">
        <v>1905</v>
      </c>
      <c r="E296" s="1">
        <v>1</v>
      </c>
      <c r="F296" s="2" t="s">
        <v>1966</v>
      </c>
      <c r="G296" s="2" t="s">
        <v>1959</v>
      </c>
      <c r="H296" s="2" t="s">
        <v>31</v>
      </c>
      <c r="I296" s="2" t="s">
        <v>32</v>
      </c>
      <c r="J296" s="2" t="s">
        <v>1967</v>
      </c>
      <c r="K296" s="10" t="s">
        <v>2839</v>
      </c>
      <c r="L296" s="2" t="s">
        <v>1968</v>
      </c>
      <c r="M296" s="2" t="s">
        <v>1969</v>
      </c>
      <c r="N296" s="2" t="s">
        <v>1970</v>
      </c>
      <c r="O296" s="2" t="s">
        <v>31</v>
      </c>
      <c r="P296" s="2" t="s">
        <v>1971</v>
      </c>
      <c r="Q296" s="2" t="s">
        <v>86</v>
      </c>
      <c r="R296" s="2" t="s">
        <v>48</v>
      </c>
      <c r="S296" s="2" t="s">
        <v>31</v>
      </c>
      <c r="T296" s="2" t="s">
        <v>1972</v>
      </c>
      <c r="U296" s="2">
        <v>0</v>
      </c>
      <c r="V296" s="10">
        <v>1999</v>
      </c>
      <c r="W296" s="10">
        <v>2199</v>
      </c>
      <c r="X296" s="11">
        <v>0</v>
      </c>
      <c r="Y296" s="11">
        <v>1</v>
      </c>
      <c r="Z296" s="2" t="s">
        <v>31</v>
      </c>
      <c r="AA296" s="2" t="s">
        <v>1973</v>
      </c>
      <c r="AB296" s="3">
        <v>41082</v>
      </c>
      <c r="AC296" s="2">
        <v>1350000</v>
      </c>
      <c r="AD296" s="2" t="s">
        <v>39</v>
      </c>
      <c r="AE296" s="2">
        <v>5.12</v>
      </c>
      <c r="AF296" s="4">
        <v>2366500</v>
      </c>
      <c r="AG296" s="8">
        <v>24232.959999999999</v>
      </c>
      <c r="AH296" s="8">
        <f t="shared" si="16"/>
        <v>26052.855295999998</v>
      </c>
      <c r="AI296" s="8">
        <f t="shared" si="17"/>
        <v>1819.8952959999988</v>
      </c>
      <c r="AJ296" s="8">
        <f t="shared" si="18"/>
        <v>25543.963135999998</v>
      </c>
      <c r="AK296" s="8">
        <f t="shared" si="19"/>
        <v>1311.0031359999994</v>
      </c>
    </row>
    <row r="297" spans="1:37" x14ac:dyDescent="0.3">
      <c r="A297" s="1">
        <v>305</v>
      </c>
      <c r="B297" s="2" t="s">
        <v>1974</v>
      </c>
      <c r="C297" s="2" t="s">
        <v>100</v>
      </c>
      <c r="D297" s="2" t="s">
        <v>1905</v>
      </c>
      <c r="E297" s="1">
        <v>1</v>
      </c>
      <c r="F297" s="2" t="s">
        <v>1975</v>
      </c>
      <c r="G297" s="2" t="s">
        <v>1959</v>
      </c>
      <c r="H297" s="2" t="s">
        <v>31</v>
      </c>
      <c r="I297" s="2" t="s">
        <v>32</v>
      </c>
      <c r="J297" s="2" t="s">
        <v>1976</v>
      </c>
      <c r="K297" s="10" t="s">
        <v>2839</v>
      </c>
      <c r="L297" s="2" t="s">
        <v>1977</v>
      </c>
      <c r="M297" s="2" t="s">
        <v>1978</v>
      </c>
      <c r="N297" s="2" t="s">
        <v>31</v>
      </c>
      <c r="O297" s="2" t="s">
        <v>31</v>
      </c>
      <c r="P297" s="2" t="s">
        <v>1979</v>
      </c>
      <c r="Q297" s="2" t="s">
        <v>59</v>
      </c>
      <c r="R297" s="2" t="s">
        <v>48</v>
      </c>
      <c r="S297" s="2" t="s">
        <v>31</v>
      </c>
      <c r="T297" s="2" t="s">
        <v>60</v>
      </c>
      <c r="U297" s="2">
        <v>0</v>
      </c>
      <c r="V297" s="10">
        <v>1999</v>
      </c>
      <c r="W297" s="10">
        <v>1516</v>
      </c>
      <c r="X297" s="11">
        <v>0</v>
      </c>
      <c r="Y297" s="11">
        <v>1</v>
      </c>
      <c r="Z297" s="2" t="s">
        <v>31</v>
      </c>
      <c r="AA297" s="2" t="s">
        <v>1980</v>
      </c>
      <c r="AB297" s="3">
        <v>37475</v>
      </c>
      <c r="AC297" s="2">
        <v>769000</v>
      </c>
      <c r="AD297" s="2" t="s">
        <v>107</v>
      </c>
      <c r="AE297" s="2">
        <v>3.73</v>
      </c>
      <c r="AF297" s="4">
        <v>1854300</v>
      </c>
      <c r="AG297" s="8">
        <v>15353.1</v>
      </c>
      <c r="AH297" s="8">
        <f t="shared" si="16"/>
        <v>16506.11781</v>
      </c>
      <c r="AI297" s="8">
        <f t="shared" si="17"/>
        <v>1153.0178099999994</v>
      </c>
      <c r="AJ297" s="8">
        <f t="shared" si="18"/>
        <v>16183.702710000001</v>
      </c>
      <c r="AK297" s="8">
        <f t="shared" si="19"/>
        <v>830.60271000000103</v>
      </c>
    </row>
    <row r="298" spans="1:37" x14ac:dyDescent="0.3">
      <c r="A298" s="1">
        <v>306</v>
      </c>
      <c r="B298" s="2" t="s">
        <v>1981</v>
      </c>
      <c r="C298" s="2" t="s">
        <v>100</v>
      </c>
      <c r="D298" s="2" t="s">
        <v>1905</v>
      </c>
      <c r="E298" s="1">
        <v>1</v>
      </c>
      <c r="F298" s="2" t="s">
        <v>1982</v>
      </c>
      <c r="G298" s="2" t="s">
        <v>1959</v>
      </c>
      <c r="H298" s="2" t="s">
        <v>31</v>
      </c>
      <c r="I298" s="2" t="s">
        <v>32</v>
      </c>
      <c r="J298" s="2" t="s">
        <v>1983</v>
      </c>
      <c r="K298" s="10" t="s">
        <v>2839</v>
      </c>
      <c r="L298" s="2" t="s">
        <v>1984</v>
      </c>
      <c r="M298" s="2" t="s">
        <v>1985</v>
      </c>
      <c r="N298" s="2" t="s">
        <v>31</v>
      </c>
      <c r="O298" s="2" t="s">
        <v>31</v>
      </c>
      <c r="P298" s="2" t="s">
        <v>1986</v>
      </c>
      <c r="Q298" s="2" t="s">
        <v>59</v>
      </c>
      <c r="R298" s="2" t="s">
        <v>48</v>
      </c>
      <c r="S298" s="2" t="s">
        <v>31</v>
      </c>
      <c r="T298" s="2" t="s">
        <v>60</v>
      </c>
      <c r="U298" s="2">
        <v>0</v>
      </c>
      <c r="V298" s="10">
        <v>1999</v>
      </c>
      <c r="W298" s="10">
        <v>1742</v>
      </c>
      <c r="X298" s="11">
        <v>0</v>
      </c>
      <c r="Y298" s="11">
        <v>1</v>
      </c>
      <c r="Z298" s="2" t="s">
        <v>31</v>
      </c>
      <c r="AA298" s="2" t="s">
        <v>1987</v>
      </c>
      <c r="AB298" s="3">
        <v>45198</v>
      </c>
      <c r="AC298" s="2">
        <v>2150000</v>
      </c>
      <c r="AD298" s="2" t="s">
        <v>107</v>
      </c>
      <c r="AE298" s="2">
        <v>4.22</v>
      </c>
      <c r="AF298" s="4">
        <v>2047200</v>
      </c>
      <c r="AG298" s="8">
        <v>17328.39</v>
      </c>
      <c r="AH298" s="8">
        <f t="shared" si="16"/>
        <v>18629.752088999998</v>
      </c>
      <c r="AI298" s="8">
        <f t="shared" si="17"/>
        <v>1301.3620889999984</v>
      </c>
      <c r="AJ298" s="8">
        <f t="shared" si="18"/>
        <v>18265.855898999998</v>
      </c>
      <c r="AK298" s="8">
        <f t="shared" si="19"/>
        <v>937.4658989999989</v>
      </c>
    </row>
    <row r="299" spans="1:37" x14ac:dyDescent="0.3">
      <c r="A299" s="1">
        <v>307</v>
      </c>
      <c r="B299" s="2" t="s">
        <v>1988</v>
      </c>
      <c r="C299" s="2" t="s">
        <v>100</v>
      </c>
      <c r="D299" s="2" t="s">
        <v>1905</v>
      </c>
      <c r="E299" s="1">
        <v>1</v>
      </c>
      <c r="F299" s="2" t="s">
        <v>1989</v>
      </c>
      <c r="G299" s="2" t="s">
        <v>1959</v>
      </c>
      <c r="H299" s="2" t="s">
        <v>31</v>
      </c>
      <c r="I299" s="2" t="s">
        <v>32</v>
      </c>
      <c r="J299" s="2" t="s">
        <v>1990</v>
      </c>
      <c r="K299" s="10" t="s">
        <v>2839</v>
      </c>
      <c r="L299" s="2" t="s">
        <v>1991</v>
      </c>
      <c r="M299" s="2" t="s">
        <v>1992</v>
      </c>
      <c r="N299" s="2" t="s">
        <v>31</v>
      </c>
      <c r="O299" s="2" t="s">
        <v>31</v>
      </c>
      <c r="P299" s="2" t="s">
        <v>1993</v>
      </c>
      <c r="Q299" s="2" t="s">
        <v>59</v>
      </c>
      <c r="R299" s="2" t="s">
        <v>48</v>
      </c>
      <c r="S299" s="2" t="s">
        <v>31</v>
      </c>
      <c r="T299" s="2" t="s">
        <v>60</v>
      </c>
      <c r="U299" s="2">
        <v>0</v>
      </c>
      <c r="V299" s="10">
        <v>1999</v>
      </c>
      <c r="W299" s="10">
        <v>2540</v>
      </c>
      <c r="X299" s="11">
        <v>0</v>
      </c>
      <c r="Y299" s="11">
        <v>1</v>
      </c>
      <c r="Z299" s="2" t="s">
        <v>31</v>
      </c>
      <c r="AA299" s="2" t="s">
        <v>1994</v>
      </c>
      <c r="AB299" s="3">
        <v>41927</v>
      </c>
      <c r="AC299" s="2">
        <v>100</v>
      </c>
      <c r="AD299" s="2" t="s">
        <v>39</v>
      </c>
      <c r="AE299" s="2">
        <v>6.9</v>
      </c>
      <c r="AF299" s="4">
        <v>2833000</v>
      </c>
      <c r="AG299" s="8">
        <v>29009.919999999998</v>
      </c>
      <c r="AH299" s="8">
        <f t="shared" si="16"/>
        <v>31188.564991999996</v>
      </c>
      <c r="AI299" s="8">
        <f t="shared" si="17"/>
        <v>2178.6449919999977</v>
      </c>
      <c r="AJ299" s="8">
        <f t="shared" si="18"/>
        <v>30579.356671999998</v>
      </c>
      <c r="AK299" s="8">
        <f t="shared" si="19"/>
        <v>1569.4366719999998</v>
      </c>
    </row>
    <row r="300" spans="1:37" x14ac:dyDescent="0.3">
      <c r="A300" s="1">
        <v>308</v>
      </c>
      <c r="B300" s="2" t="s">
        <v>1995</v>
      </c>
      <c r="C300" s="2" t="s">
        <v>100</v>
      </c>
      <c r="D300" s="2" t="s">
        <v>1905</v>
      </c>
      <c r="E300" s="1">
        <v>1</v>
      </c>
      <c r="F300" s="2" t="s">
        <v>1996</v>
      </c>
      <c r="G300" s="2" t="s">
        <v>1959</v>
      </c>
      <c r="H300" s="2" t="s">
        <v>31</v>
      </c>
      <c r="I300" s="2" t="s">
        <v>32</v>
      </c>
      <c r="J300" s="2" t="s">
        <v>1997</v>
      </c>
      <c r="K300" s="10" t="s">
        <v>2839</v>
      </c>
      <c r="L300" s="2" t="s">
        <v>1998</v>
      </c>
      <c r="M300" s="2" t="s">
        <v>1999</v>
      </c>
      <c r="N300" s="2" t="s">
        <v>2000</v>
      </c>
      <c r="O300" s="2" t="s">
        <v>2001</v>
      </c>
      <c r="P300" s="2" t="s">
        <v>2002</v>
      </c>
      <c r="Q300" s="2" t="s">
        <v>59</v>
      </c>
      <c r="R300" s="2" t="s">
        <v>48</v>
      </c>
      <c r="S300" s="2" t="s">
        <v>31</v>
      </c>
      <c r="T300" s="2" t="s">
        <v>60</v>
      </c>
      <c r="U300" s="2">
        <v>0</v>
      </c>
      <c r="V300" s="10">
        <v>1999</v>
      </c>
      <c r="W300" s="10">
        <v>2141</v>
      </c>
      <c r="X300" s="11">
        <v>0</v>
      </c>
      <c r="Y300" s="11">
        <v>1</v>
      </c>
      <c r="Z300" s="2" t="s">
        <v>31</v>
      </c>
      <c r="AA300" s="2" t="s">
        <v>2003</v>
      </c>
      <c r="AB300" s="3">
        <v>45637</v>
      </c>
      <c r="AC300" s="2">
        <v>2200000</v>
      </c>
      <c r="AD300" s="2" t="s">
        <v>39</v>
      </c>
      <c r="AE300" s="2">
        <v>5.51</v>
      </c>
      <c r="AF300" s="4">
        <v>2301700</v>
      </c>
      <c r="AG300" s="8">
        <v>23569.41</v>
      </c>
      <c r="AH300" s="8">
        <f t="shared" si="16"/>
        <v>25339.472690999999</v>
      </c>
      <c r="AI300" s="8">
        <f t="shared" si="17"/>
        <v>1770.0626909999992</v>
      </c>
      <c r="AJ300" s="8">
        <f t="shared" si="18"/>
        <v>24844.515081000001</v>
      </c>
      <c r="AK300" s="8">
        <f t="shared" si="19"/>
        <v>1275.1050810000015</v>
      </c>
    </row>
    <row r="301" spans="1:37" x14ac:dyDescent="0.3">
      <c r="A301" s="1">
        <v>309</v>
      </c>
      <c r="B301" s="2" t="s">
        <v>2004</v>
      </c>
      <c r="C301" s="2" t="s">
        <v>100</v>
      </c>
      <c r="D301" s="2" t="s">
        <v>1905</v>
      </c>
      <c r="E301" s="1">
        <v>1</v>
      </c>
      <c r="F301" s="2" t="s">
        <v>2005</v>
      </c>
      <c r="G301" s="2" t="s">
        <v>1959</v>
      </c>
      <c r="H301" s="2" t="s">
        <v>31</v>
      </c>
      <c r="I301" s="2" t="s">
        <v>32</v>
      </c>
      <c r="J301" s="2" t="s">
        <v>2006</v>
      </c>
      <c r="K301" s="10" t="s">
        <v>2839</v>
      </c>
      <c r="L301" s="2" t="s">
        <v>2007</v>
      </c>
      <c r="M301" s="2" t="s">
        <v>2008</v>
      </c>
      <c r="N301" s="2" t="s">
        <v>31</v>
      </c>
      <c r="O301" s="2" t="s">
        <v>31</v>
      </c>
      <c r="P301" s="2" t="s">
        <v>2009</v>
      </c>
      <c r="Q301" s="2" t="s">
        <v>59</v>
      </c>
      <c r="R301" s="2" t="s">
        <v>48</v>
      </c>
      <c r="S301" s="2" t="s">
        <v>31</v>
      </c>
      <c r="T301" s="2" t="s">
        <v>60</v>
      </c>
      <c r="U301" s="2">
        <v>0</v>
      </c>
      <c r="V301" s="10">
        <v>1999</v>
      </c>
      <c r="W301" s="10">
        <v>1485</v>
      </c>
      <c r="X301" s="11">
        <v>0</v>
      </c>
      <c r="Y301" s="11">
        <v>1</v>
      </c>
      <c r="Z301" s="2" t="s">
        <v>31</v>
      </c>
      <c r="AA301" s="2" t="s">
        <v>2010</v>
      </c>
      <c r="AB301" s="3">
        <v>45883</v>
      </c>
      <c r="AC301" s="2">
        <v>1650000</v>
      </c>
      <c r="AD301" s="2" t="s">
        <v>39</v>
      </c>
      <c r="AE301" s="2">
        <v>3.97</v>
      </c>
      <c r="AF301" s="4">
        <v>1794700</v>
      </c>
      <c r="AG301" s="8">
        <v>18377.73</v>
      </c>
      <c r="AH301" s="8">
        <f t="shared" si="16"/>
        <v>19757.897523</v>
      </c>
      <c r="AI301" s="8">
        <f t="shared" si="17"/>
        <v>1380.1675230000001</v>
      </c>
      <c r="AJ301" s="8">
        <f t="shared" si="18"/>
        <v>19371.965193</v>
      </c>
      <c r="AK301" s="8">
        <f t="shared" si="19"/>
        <v>994.23519300000044</v>
      </c>
    </row>
    <row r="302" spans="1:37" x14ac:dyDescent="0.3">
      <c r="A302" s="1">
        <v>310</v>
      </c>
      <c r="B302" s="2" t="s">
        <v>2011</v>
      </c>
      <c r="C302" s="2" t="s">
        <v>100</v>
      </c>
      <c r="D302" s="2" t="s">
        <v>1905</v>
      </c>
      <c r="E302" s="1">
        <v>1</v>
      </c>
      <c r="F302" s="2" t="s">
        <v>2012</v>
      </c>
      <c r="G302" s="2" t="s">
        <v>1959</v>
      </c>
      <c r="H302" s="2" t="s">
        <v>31</v>
      </c>
      <c r="I302" s="2" t="s">
        <v>32</v>
      </c>
      <c r="J302" s="2" t="s">
        <v>2013</v>
      </c>
      <c r="K302" s="10" t="s">
        <v>2839</v>
      </c>
      <c r="L302" s="2" t="s">
        <v>2014</v>
      </c>
      <c r="M302" s="2" t="s">
        <v>2015</v>
      </c>
      <c r="N302" s="2" t="s">
        <v>31</v>
      </c>
      <c r="O302" s="2" t="s">
        <v>31</v>
      </c>
      <c r="P302" s="2" t="s">
        <v>2016</v>
      </c>
      <c r="Q302" s="2" t="s">
        <v>59</v>
      </c>
      <c r="R302" s="2" t="s">
        <v>48</v>
      </c>
      <c r="S302" s="2" t="s">
        <v>31</v>
      </c>
      <c r="T302" s="2" t="s">
        <v>60</v>
      </c>
      <c r="U302" s="2">
        <v>0</v>
      </c>
      <c r="V302" s="10">
        <v>1999</v>
      </c>
      <c r="W302" s="10">
        <v>1748</v>
      </c>
      <c r="X302" s="11">
        <v>0</v>
      </c>
      <c r="Y302" s="11">
        <v>1</v>
      </c>
      <c r="Z302" s="2" t="s">
        <v>31</v>
      </c>
      <c r="AA302" s="2" t="s">
        <v>2017</v>
      </c>
      <c r="AB302" s="3">
        <v>36728</v>
      </c>
      <c r="AC302" s="2">
        <v>749000</v>
      </c>
      <c r="AD302" s="2" t="s">
        <v>39</v>
      </c>
      <c r="AE302" s="2">
        <v>4.6399999999999997</v>
      </c>
      <c r="AF302" s="4">
        <v>1947700</v>
      </c>
      <c r="AG302" s="8">
        <v>19944.45</v>
      </c>
      <c r="AH302" s="8">
        <f t="shared" si="16"/>
        <v>21442.278194999999</v>
      </c>
      <c r="AI302" s="8">
        <f t="shared" si="17"/>
        <v>1497.8281949999982</v>
      </c>
      <c r="AJ302" s="8">
        <f t="shared" si="18"/>
        <v>21023.444745000001</v>
      </c>
      <c r="AK302" s="8">
        <f t="shared" si="19"/>
        <v>1078.994745</v>
      </c>
    </row>
    <row r="303" spans="1:37" x14ac:dyDescent="0.3">
      <c r="A303" s="1">
        <v>311</v>
      </c>
      <c r="B303" s="2" t="s">
        <v>2018</v>
      </c>
      <c r="C303" s="2" t="s">
        <v>100</v>
      </c>
      <c r="D303" s="2" t="s">
        <v>1905</v>
      </c>
      <c r="E303" s="1">
        <v>1</v>
      </c>
      <c r="F303" s="2" t="s">
        <v>2019</v>
      </c>
      <c r="G303" s="2" t="s">
        <v>1959</v>
      </c>
      <c r="H303" s="2" t="s">
        <v>31</v>
      </c>
      <c r="I303" s="2" t="s">
        <v>32</v>
      </c>
      <c r="J303" s="2" t="s">
        <v>2020</v>
      </c>
      <c r="K303" s="10" t="s">
        <v>2839</v>
      </c>
      <c r="L303" s="2" t="s">
        <v>2021</v>
      </c>
      <c r="M303" s="2" t="s">
        <v>31</v>
      </c>
      <c r="N303" s="2" t="s">
        <v>31</v>
      </c>
      <c r="O303" s="2" t="s">
        <v>31</v>
      </c>
      <c r="P303" s="2" t="s">
        <v>2022</v>
      </c>
      <c r="Q303" s="2" t="s">
        <v>59</v>
      </c>
      <c r="R303" s="2" t="s">
        <v>48</v>
      </c>
      <c r="S303" s="2" t="s">
        <v>31</v>
      </c>
      <c r="T303" s="2" t="s">
        <v>60</v>
      </c>
      <c r="U303" s="2">
        <v>0</v>
      </c>
      <c r="V303" s="10">
        <v>1999</v>
      </c>
      <c r="W303" s="10">
        <v>2412</v>
      </c>
      <c r="X303" s="11">
        <v>0</v>
      </c>
      <c r="Y303" s="11">
        <v>1</v>
      </c>
      <c r="Z303" s="2" t="s">
        <v>31</v>
      </c>
      <c r="AA303" s="2" t="s">
        <v>2023</v>
      </c>
      <c r="AB303" s="3">
        <v>45251</v>
      </c>
      <c r="AC303" s="2">
        <v>2700000</v>
      </c>
      <c r="AD303" s="2" t="s">
        <v>39</v>
      </c>
      <c r="AE303" s="2">
        <v>6.39</v>
      </c>
      <c r="AF303" s="4">
        <v>2592500</v>
      </c>
      <c r="AG303" s="8">
        <v>26547.200000000001</v>
      </c>
      <c r="AH303" s="8">
        <f t="shared" si="16"/>
        <v>28540.89472</v>
      </c>
      <c r="AI303" s="8">
        <f t="shared" si="17"/>
        <v>1993.6947199999995</v>
      </c>
      <c r="AJ303" s="8">
        <f t="shared" si="18"/>
        <v>27983.403520000003</v>
      </c>
      <c r="AK303" s="8">
        <f t="shared" si="19"/>
        <v>1436.2035200000028</v>
      </c>
    </row>
    <row r="304" spans="1:37" x14ac:dyDescent="0.3">
      <c r="A304" s="1">
        <v>312</v>
      </c>
      <c r="B304" s="2" t="s">
        <v>2024</v>
      </c>
      <c r="C304" s="2" t="s">
        <v>100</v>
      </c>
      <c r="D304" s="2" t="s">
        <v>1905</v>
      </c>
      <c r="E304" s="1">
        <v>1</v>
      </c>
      <c r="F304" s="2" t="s">
        <v>2025</v>
      </c>
      <c r="G304" s="2" t="s">
        <v>1959</v>
      </c>
      <c r="H304" s="2" t="s">
        <v>31</v>
      </c>
      <c r="I304" s="2" t="s">
        <v>32</v>
      </c>
      <c r="J304" s="2" t="s">
        <v>2026</v>
      </c>
      <c r="K304" s="10" t="s">
        <v>2839</v>
      </c>
      <c r="L304" s="2" t="s">
        <v>2027</v>
      </c>
      <c r="M304" s="2" t="s">
        <v>2028</v>
      </c>
      <c r="N304" s="2" t="s">
        <v>31</v>
      </c>
      <c r="O304" s="2" t="s">
        <v>31</v>
      </c>
      <c r="P304" s="2" t="s">
        <v>2029</v>
      </c>
      <c r="Q304" s="2" t="s">
        <v>59</v>
      </c>
      <c r="R304" s="2" t="s">
        <v>48</v>
      </c>
      <c r="S304" s="2" t="s">
        <v>31</v>
      </c>
      <c r="T304" s="2" t="s">
        <v>60</v>
      </c>
      <c r="U304" s="2">
        <v>0</v>
      </c>
      <c r="V304" s="10">
        <v>1999</v>
      </c>
      <c r="W304" s="10">
        <v>2543</v>
      </c>
      <c r="X304" s="11">
        <v>0</v>
      </c>
      <c r="Y304" s="11">
        <v>1</v>
      </c>
      <c r="Z304" s="2" t="s">
        <v>31</v>
      </c>
      <c r="AA304" s="2" t="s">
        <v>2030</v>
      </c>
      <c r="AB304" s="3">
        <v>44195</v>
      </c>
      <c r="AC304" s="2">
        <v>3025000</v>
      </c>
      <c r="AD304" s="2" t="s">
        <v>39</v>
      </c>
      <c r="AE304" s="2">
        <v>7.39</v>
      </c>
      <c r="AF304" s="4">
        <v>2847500</v>
      </c>
      <c r="AG304" s="8">
        <v>29158.400000000001</v>
      </c>
      <c r="AH304" s="8">
        <f t="shared" si="16"/>
        <v>31348.19584</v>
      </c>
      <c r="AI304" s="8">
        <f t="shared" si="17"/>
        <v>2189.7958399999989</v>
      </c>
      <c r="AJ304" s="8">
        <f t="shared" si="18"/>
        <v>30735.869440000002</v>
      </c>
      <c r="AK304" s="8">
        <f t="shared" si="19"/>
        <v>1577.4694400000008</v>
      </c>
    </row>
    <row r="305" spans="1:37" x14ac:dyDescent="0.3">
      <c r="A305" s="1">
        <v>313</v>
      </c>
      <c r="B305" s="2" t="s">
        <v>2031</v>
      </c>
      <c r="C305" s="2" t="s">
        <v>100</v>
      </c>
      <c r="D305" s="2" t="s">
        <v>1905</v>
      </c>
      <c r="E305" s="1">
        <v>1</v>
      </c>
      <c r="F305" s="2" t="s">
        <v>2032</v>
      </c>
      <c r="G305" s="2" t="s">
        <v>1959</v>
      </c>
      <c r="H305" s="2" t="s">
        <v>31</v>
      </c>
      <c r="I305" s="2" t="s">
        <v>32</v>
      </c>
      <c r="J305" s="2" t="s">
        <v>2033</v>
      </c>
      <c r="K305" s="10" t="s">
        <v>2839</v>
      </c>
      <c r="L305" s="2" t="s">
        <v>2034</v>
      </c>
      <c r="M305" s="2" t="s">
        <v>2035</v>
      </c>
      <c r="N305" s="2" t="s">
        <v>31</v>
      </c>
      <c r="O305" s="2" t="s">
        <v>31</v>
      </c>
      <c r="P305" s="2" t="s">
        <v>2036</v>
      </c>
      <c r="Q305" s="2" t="s">
        <v>59</v>
      </c>
      <c r="R305" s="2" t="s">
        <v>48</v>
      </c>
      <c r="S305" s="2" t="s">
        <v>31</v>
      </c>
      <c r="T305" s="2" t="s">
        <v>60</v>
      </c>
      <c r="U305" s="2">
        <v>0</v>
      </c>
      <c r="V305" s="10">
        <v>1999</v>
      </c>
      <c r="W305" s="10">
        <v>2144</v>
      </c>
      <c r="X305" s="11">
        <v>0</v>
      </c>
      <c r="Y305" s="11">
        <v>1</v>
      </c>
      <c r="Z305" s="2" t="s">
        <v>31</v>
      </c>
      <c r="AA305" s="2" t="s">
        <v>2037</v>
      </c>
      <c r="AB305" s="3">
        <v>39839</v>
      </c>
      <c r="AC305" s="2">
        <v>1200000</v>
      </c>
      <c r="AD305" s="2" t="s">
        <v>107</v>
      </c>
      <c r="AE305" s="2">
        <v>5.9</v>
      </c>
      <c r="AF305" s="4">
        <v>2289100</v>
      </c>
      <c r="AG305" s="8">
        <v>19805.45</v>
      </c>
      <c r="AH305" s="8">
        <f t="shared" si="16"/>
        <v>21292.839294999998</v>
      </c>
      <c r="AI305" s="8">
        <f t="shared" si="17"/>
        <v>1487.3892949999972</v>
      </c>
      <c r="AJ305" s="8">
        <f t="shared" si="18"/>
        <v>20876.924845000001</v>
      </c>
      <c r="AK305" s="8">
        <f t="shared" si="19"/>
        <v>1071.4748450000006</v>
      </c>
    </row>
    <row r="306" spans="1:37" x14ac:dyDescent="0.3">
      <c r="A306" s="1">
        <v>314</v>
      </c>
      <c r="B306" s="2" t="s">
        <v>2038</v>
      </c>
      <c r="C306" s="2" t="s">
        <v>100</v>
      </c>
      <c r="D306" s="2" t="s">
        <v>1905</v>
      </c>
      <c r="E306" s="1">
        <v>1</v>
      </c>
      <c r="F306" s="2" t="s">
        <v>2039</v>
      </c>
      <c r="G306" s="2" t="s">
        <v>1959</v>
      </c>
      <c r="H306" s="2" t="s">
        <v>31</v>
      </c>
      <c r="I306" s="2" t="s">
        <v>32</v>
      </c>
      <c r="J306" s="2" t="s">
        <v>2040</v>
      </c>
      <c r="K306" s="10" t="s">
        <v>2839</v>
      </c>
      <c r="L306" s="2" t="s">
        <v>2041</v>
      </c>
      <c r="M306" s="2" t="s">
        <v>2042</v>
      </c>
      <c r="N306" s="2" t="s">
        <v>31</v>
      </c>
      <c r="O306" s="2" t="s">
        <v>31</v>
      </c>
      <c r="P306" s="2" t="s">
        <v>2043</v>
      </c>
      <c r="Q306" s="2" t="s">
        <v>59</v>
      </c>
      <c r="R306" s="2" t="s">
        <v>48</v>
      </c>
      <c r="S306" s="2" t="s">
        <v>31</v>
      </c>
      <c r="T306" s="2" t="s">
        <v>60</v>
      </c>
      <c r="U306" s="2">
        <v>0</v>
      </c>
      <c r="V306" s="10">
        <v>1999</v>
      </c>
      <c r="W306" s="10">
        <v>3333</v>
      </c>
      <c r="X306" s="11">
        <v>0</v>
      </c>
      <c r="Y306" s="11">
        <v>1</v>
      </c>
      <c r="Z306" s="2" t="s">
        <v>31</v>
      </c>
      <c r="AA306" s="2" t="s">
        <v>2044</v>
      </c>
      <c r="AB306" s="3">
        <v>42832</v>
      </c>
      <c r="AC306" s="2">
        <v>10</v>
      </c>
      <c r="AD306" s="2" t="s">
        <v>107</v>
      </c>
      <c r="AE306" s="2">
        <v>9.65</v>
      </c>
      <c r="AF306" s="4">
        <v>3499300</v>
      </c>
      <c r="AG306" s="8">
        <v>32197.9</v>
      </c>
      <c r="AH306" s="8">
        <f t="shared" si="16"/>
        <v>34615.962290000003</v>
      </c>
      <c r="AI306" s="8">
        <f t="shared" si="17"/>
        <v>2418.0622900000017</v>
      </c>
      <c r="AJ306" s="8">
        <f t="shared" si="18"/>
        <v>33939.806390000005</v>
      </c>
      <c r="AK306" s="8">
        <f t="shared" si="19"/>
        <v>1741.9063900000037</v>
      </c>
    </row>
    <row r="307" spans="1:37" x14ac:dyDescent="0.3">
      <c r="A307" s="1">
        <v>315</v>
      </c>
      <c r="B307" s="2" t="s">
        <v>2045</v>
      </c>
      <c r="C307" s="2" t="s">
        <v>100</v>
      </c>
      <c r="D307" s="2" t="s">
        <v>1905</v>
      </c>
      <c r="E307" s="1">
        <v>1</v>
      </c>
      <c r="F307" s="2" t="s">
        <v>2046</v>
      </c>
      <c r="G307" s="2" t="s">
        <v>1959</v>
      </c>
      <c r="H307" s="2" t="s">
        <v>31</v>
      </c>
      <c r="I307" s="2" t="s">
        <v>32</v>
      </c>
      <c r="J307" s="2" t="s">
        <v>2047</v>
      </c>
      <c r="K307" s="10" t="s">
        <v>2839</v>
      </c>
      <c r="L307" s="2" t="s">
        <v>2048</v>
      </c>
      <c r="M307" s="2" t="s">
        <v>2049</v>
      </c>
      <c r="N307" s="2" t="s">
        <v>31</v>
      </c>
      <c r="O307" s="2" t="s">
        <v>31</v>
      </c>
      <c r="P307" s="2" t="s">
        <v>2050</v>
      </c>
      <c r="Q307" s="2" t="s">
        <v>59</v>
      </c>
      <c r="R307" s="2" t="s">
        <v>48</v>
      </c>
      <c r="S307" s="2" t="s">
        <v>31</v>
      </c>
      <c r="T307" s="2" t="s">
        <v>60</v>
      </c>
      <c r="U307" s="2">
        <v>0</v>
      </c>
      <c r="V307" s="10">
        <v>1999</v>
      </c>
      <c r="W307" s="10">
        <v>2412</v>
      </c>
      <c r="X307" s="11">
        <v>0</v>
      </c>
      <c r="Y307" s="11">
        <v>1</v>
      </c>
      <c r="Z307" s="2" t="s">
        <v>31</v>
      </c>
      <c r="AA307" s="2" t="s">
        <v>2051</v>
      </c>
      <c r="AB307" s="3">
        <v>40262</v>
      </c>
      <c r="AC307" s="2">
        <v>1537500</v>
      </c>
      <c r="AD307" s="2" t="s">
        <v>107</v>
      </c>
      <c r="AE307" s="2">
        <v>7.09</v>
      </c>
      <c r="AF307" s="4">
        <v>2700900</v>
      </c>
      <c r="AG307" s="8">
        <v>24022.28</v>
      </c>
      <c r="AH307" s="8">
        <f t="shared" si="16"/>
        <v>25826.353227999996</v>
      </c>
      <c r="AI307" s="8">
        <f t="shared" si="17"/>
        <v>1804.0732279999975</v>
      </c>
      <c r="AJ307" s="8">
        <f t="shared" si="18"/>
        <v>25321.885348</v>
      </c>
      <c r="AK307" s="8">
        <f t="shared" si="19"/>
        <v>1299.605348000001</v>
      </c>
    </row>
    <row r="308" spans="1:37" x14ac:dyDescent="0.3">
      <c r="A308" s="1">
        <v>316</v>
      </c>
      <c r="B308" s="2" t="s">
        <v>2052</v>
      </c>
      <c r="C308" s="2" t="s">
        <v>100</v>
      </c>
      <c r="D308" s="2" t="s">
        <v>1905</v>
      </c>
      <c r="E308" s="1">
        <v>1</v>
      </c>
      <c r="F308" s="2" t="s">
        <v>2053</v>
      </c>
      <c r="G308" s="2" t="s">
        <v>1959</v>
      </c>
      <c r="H308" s="2" t="s">
        <v>31</v>
      </c>
      <c r="I308" s="2" t="s">
        <v>32</v>
      </c>
      <c r="J308" s="2" t="s">
        <v>2054</v>
      </c>
      <c r="K308" s="10" t="s">
        <v>2839</v>
      </c>
      <c r="L308" s="2" t="s">
        <v>2055</v>
      </c>
      <c r="M308" s="2" t="s">
        <v>2056</v>
      </c>
      <c r="N308" s="2" t="s">
        <v>31</v>
      </c>
      <c r="O308" s="2" t="s">
        <v>31</v>
      </c>
      <c r="P308" s="2" t="s">
        <v>2057</v>
      </c>
      <c r="Q308" s="2" t="s">
        <v>59</v>
      </c>
      <c r="R308" s="2" t="s">
        <v>48</v>
      </c>
      <c r="S308" s="2" t="s">
        <v>31</v>
      </c>
      <c r="T308" s="2" t="s">
        <v>60</v>
      </c>
      <c r="U308" s="2">
        <v>0</v>
      </c>
      <c r="V308" s="10">
        <v>1999</v>
      </c>
      <c r="W308" s="10">
        <v>2765</v>
      </c>
      <c r="X308" s="11">
        <v>0</v>
      </c>
      <c r="Y308" s="11">
        <v>1</v>
      </c>
      <c r="Z308" s="2" t="s">
        <v>31</v>
      </c>
      <c r="AA308" s="2" t="s">
        <v>2058</v>
      </c>
      <c r="AB308" s="3">
        <v>45252</v>
      </c>
      <c r="AC308" s="2">
        <v>1</v>
      </c>
      <c r="AD308" s="2" t="s">
        <v>107</v>
      </c>
      <c r="AE308" s="2">
        <v>8.42</v>
      </c>
      <c r="AF308" s="4">
        <v>2976600</v>
      </c>
      <c r="AG308" s="8">
        <v>26845.45</v>
      </c>
      <c r="AH308" s="8">
        <f t="shared" si="16"/>
        <v>28861.543294999999</v>
      </c>
      <c r="AI308" s="8">
        <f t="shared" si="17"/>
        <v>2016.0932949999988</v>
      </c>
      <c r="AJ308" s="8">
        <f t="shared" si="18"/>
        <v>28297.788845000003</v>
      </c>
      <c r="AK308" s="8">
        <f t="shared" si="19"/>
        <v>1452.338845000002</v>
      </c>
    </row>
    <row r="309" spans="1:37" x14ac:dyDescent="0.3">
      <c r="A309" s="1">
        <v>317</v>
      </c>
      <c r="B309" s="2" t="s">
        <v>2059</v>
      </c>
      <c r="C309" s="2" t="s">
        <v>100</v>
      </c>
      <c r="D309" s="2" t="s">
        <v>1905</v>
      </c>
      <c r="E309" s="1">
        <v>1</v>
      </c>
      <c r="F309" s="2" t="s">
        <v>2060</v>
      </c>
      <c r="G309" s="2" t="s">
        <v>1959</v>
      </c>
      <c r="H309" s="2" t="s">
        <v>31</v>
      </c>
      <c r="I309" s="2" t="s">
        <v>32</v>
      </c>
      <c r="J309" s="2" t="s">
        <v>2061</v>
      </c>
      <c r="K309" s="10" t="s">
        <v>2839</v>
      </c>
      <c r="L309" s="2" t="s">
        <v>2062</v>
      </c>
      <c r="M309" s="2" t="s">
        <v>2063</v>
      </c>
      <c r="N309" s="2" t="s">
        <v>31</v>
      </c>
      <c r="O309" s="2" t="s">
        <v>31</v>
      </c>
      <c r="P309" s="2" t="s">
        <v>2064</v>
      </c>
      <c r="Q309" s="2" t="s">
        <v>59</v>
      </c>
      <c r="R309" s="2" t="s">
        <v>48</v>
      </c>
      <c r="S309" s="2" t="s">
        <v>31</v>
      </c>
      <c r="T309" s="2" t="s">
        <v>60</v>
      </c>
      <c r="U309" s="2">
        <v>0</v>
      </c>
      <c r="V309" s="10">
        <v>1999</v>
      </c>
      <c r="W309" s="10">
        <v>2999</v>
      </c>
      <c r="X309" s="11">
        <v>0</v>
      </c>
      <c r="Y309" s="11">
        <v>1</v>
      </c>
      <c r="Z309" s="2" t="s">
        <v>31</v>
      </c>
      <c r="AA309" s="2" t="s">
        <v>2065</v>
      </c>
      <c r="AB309" s="3">
        <v>45054</v>
      </c>
      <c r="AC309" s="2">
        <v>4800000</v>
      </c>
      <c r="AD309" s="2" t="s">
        <v>107</v>
      </c>
      <c r="AE309" s="2">
        <v>9.0299999999999994</v>
      </c>
      <c r="AF309" s="4">
        <v>3217100</v>
      </c>
      <c r="AG309" s="8">
        <v>29308.17</v>
      </c>
      <c r="AH309" s="8">
        <f t="shared" si="16"/>
        <v>31509.213566999995</v>
      </c>
      <c r="AI309" s="8">
        <f t="shared" si="17"/>
        <v>2201.043566999997</v>
      </c>
      <c r="AJ309" s="8">
        <f t="shared" si="18"/>
        <v>30893.741997000001</v>
      </c>
      <c r="AK309" s="8">
        <f t="shared" si="19"/>
        <v>1585.5719970000027</v>
      </c>
    </row>
    <row r="310" spans="1:37" x14ac:dyDescent="0.3">
      <c r="A310" s="1">
        <v>321</v>
      </c>
      <c r="B310" s="2" t="s">
        <v>2066</v>
      </c>
      <c r="C310" s="2" t="s">
        <v>371</v>
      </c>
      <c r="D310" s="2" t="s">
        <v>1905</v>
      </c>
      <c r="E310" s="1">
        <v>1</v>
      </c>
      <c r="F310" s="2" t="s">
        <v>2067</v>
      </c>
      <c r="G310" s="2" t="s">
        <v>498</v>
      </c>
      <c r="H310" s="2" t="s">
        <v>31</v>
      </c>
      <c r="I310" s="2" t="s">
        <v>2068</v>
      </c>
      <c r="J310" s="2" t="s">
        <v>31</v>
      </c>
      <c r="K310" s="10" t="s">
        <v>31</v>
      </c>
      <c r="L310" s="2" t="s">
        <v>2069</v>
      </c>
      <c r="M310" s="2" t="s">
        <v>2070</v>
      </c>
      <c r="N310" s="2" t="s">
        <v>2071</v>
      </c>
      <c r="O310" s="2" t="s">
        <v>2072</v>
      </c>
      <c r="P310" s="2" t="s">
        <v>2073</v>
      </c>
      <c r="Q310" s="2" t="s">
        <v>59</v>
      </c>
      <c r="R310" s="2" t="s">
        <v>48</v>
      </c>
      <c r="S310" s="2" t="s">
        <v>31</v>
      </c>
      <c r="T310" s="2" t="s">
        <v>60</v>
      </c>
      <c r="U310" s="2">
        <v>7942</v>
      </c>
      <c r="V310" s="10">
        <v>1895</v>
      </c>
      <c r="W310" s="10">
        <v>4376</v>
      </c>
      <c r="X310" s="11">
        <v>0</v>
      </c>
      <c r="Y310" s="11">
        <v>1</v>
      </c>
      <c r="Z310" s="2" t="s">
        <v>2075</v>
      </c>
      <c r="AA310" s="2" t="s">
        <v>2074</v>
      </c>
      <c r="AB310" s="3">
        <v>32630</v>
      </c>
      <c r="AC310" s="2">
        <v>662500</v>
      </c>
      <c r="AD310" s="2" t="s">
        <v>107</v>
      </c>
      <c r="AE310" s="2">
        <v>0</v>
      </c>
      <c r="AF310" s="4">
        <v>3209400</v>
      </c>
      <c r="AG310" s="8">
        <v>29229.32</v>
      </c>
      <c r="AH310" s="8">
        <f t="shared" si="16"/>
        <v>31424.441931999998</v>
      </c>
      <c r="AI310" s="8">
        <f t="shared" si="17"/>
        <v>2195.1219319999982</v>
      </c>
      <c r="AJ310" s="8">
        <f t="shared" si="18"/>
        <v>30810.626211999999</v>
      </c>
      <c r="AK310" s="8">
        <f t="shared" si="19"/>
        <v>1581.3062119999995</v>
      </c>
    </row>
    <row r="311" spans="1:37" x14ac:dyDescent="0.3">
      <c r="A311" s="1">
        <v>322</v>
      </c>
      <c r="B311" s="2" t="s">
        <v>2076</v>
      </c>
      <c r="C311" s="2" t="s">
        <v>371</v>
      </c>
      <c r="D311" s="2" t="s">
        <v>1905</v>
      </c>
      <c r="E311" s="1">
        <v>2</v>
      </c>
      <c r="F311" s="2" t="s">
        <v>2077</v>
      </c>
      <c r="G311" s="2" t="s">
        <v>458</v>
      </c>
      <c r="H311" s="2" t="s">
        <v>31</v>
      </c>
      <c r="I311" s="2" t="s">
        <v>2068</v>
      </c>
      <c r="J311" s="2" t="s">
        <v>31</v>
      </c>
      <c r="K311" s="10" t="s">
        <v>31</v>
      </c>
      <c r="L311" s="2" t="s">
        <v>2078</v>
      </c>
      <c r="M311" s="2" t="s">
        <v>2079</v>
      </c>
      <c r="N311" s="2" t="s">
        <v>2080</v>
      </c>
      <c r="O311" s="2" t="s">
        <v>2081</v>
      </c>
      <c r="P311" s="2" t="s">
        <v>2082</v>
      </c>
      <c r="Q311" s="2" t="s">
        <v>59</v>
      </c>
      <c r="R311" s="2" t="s">
        <v>48</v>
      </c>
      <c r="S311" s="2" t="s">
        <v>31</v>
      </c>
      <c r="T311" s="2" t="s">
        <v>60</v>
      </c>
      <c r="U311" s="2">
        <v>8933</v>
      </c>
      <c r="V311" s="10">
        <v>1903</v>
      </c>
      <c r="W311" s="10">
        <v>4700</v>
      </c>
      <c r="X311" s="11">
        <v>0</v>
      </c>
      <c r="Y311" s="11">
        <v>2</v>
      </c>
      <c r="Z311" s="2" t="s">
        <v>2075</v>
      </c>
      <c r="AA311" s="2" t="s">
        <v>2083</v>
      </c>
      <c r="AB311" s="3">
        <v>43664</v>
      </c>
      <c r="AC311" s="2">
        <v>2700000</v>
      </c>
      <c r="AD311" s="2" t="s">
        <v>107</v>
      </c>
      <c r="AE311" s="2">
        <v>0</v>
      </c>
      <c r="AF311" s="4">
        <v>4483300</v>
      </c>
      <c r="AG311" s="8">
        <v>42274.06</v>
      </c>
      <c r="AH311" s="8">
        <f t="shared" si="16"/>
        <v>45448.841905999994</v>
      </c>
      <c r="AI311" s="8">
        <f t="shared" si="17"/>
        <v>3174.7819059999965</v>
      </c>
      <c r="AJ311" s="8">
        <f t="shared" si="18"/>
        <v>44561.086645999996</v>
      </c>
      <c r="AK311" s="8">
        <f t="shared" si="19"/>
        <v>2287.0266459999984</v>
      </c>
    </row>
    <row r="312" spans="1:37" x14ac:dyDescent="0.3">
      <c r="A312" s="1">
        <v>323</v>
      </c>
      <c r="B312" s="2" t="s">
        <v>2084</v>
      </c>
      <c r="C312" s="2" t="s">
        <v>371</v>
      </c>
      <c r="D312" s="2" t="s">
        <v>1905</v>
      </c>
      <c r="E312" s="1">
        <v>1</v>
      </c>
      <c r="F312" s="2" t="s">
        <v>2085</v>
      </c>
      <c r="G312" s="2" t="s">
        <v>485</v>
      </c>
      <c r="H312" s="2" t="s">
        <v>31</v>
      </c>
      <c r="I312" s="2" t="s">
        <v>2068</v>
      </c>
      <c r="J312" s="2" t="s">
        <v>31</v>
      </c>
      <c r="K312" s="10" t="s">
        <v>31</v>
      </c>
      <c r="L312" s="2" t="s">
        <v>2086</v>
      </c>
      <c r="M312" s="2" t="s">
        <v>1485</v>
      </c>
      <c r="N312" s="2" t="s">
        <v>2087</v>
      </c>
      <c r="O312" s="2" t="s">
        <v>2088</v>
      </c>
      <c r="P312" s="2" t="s">
        <v>2089</v>
      </c>
      <c r="Q312" s="2" t="s">
        <v>59</v>
      </c>
      <c r="R312" s="2" t="s">
        <v>48</v>
      </c>
      <c r="S312" s="2" t="s">
        <v>31</v>
      </c>
      <c r="T312" s="2" t="s">
        <v>60</v>
      </c>
      <c r="U312" s="2">
        <v>10662</v>
      </c>
      <c r="V312" s="10">
        <v>1917</v>
      </c>
      <c r="W312" s="10">
        <v>4749.0000200000004</v>
      </c>
      <c r="X312" s="11">
        <v>0</v>
      </c>
      <c r="Y312" s="11">
        <v>1</v>
      </c>
      <c r="Z312" s="2" t="s">
        <v>2075</v>
      </c>
      <c r="AA312" s="2" t="s">
        <v>2090</v>
      </c>
      <c r="AB312" s="3">
        <v>41628</v>
      </c>
      <c r="AC312" s="2">
        <v>2265000</v>
      </c>
      <c r="AD312" s="2" t="s">
        <v>39</v>
      </c>
      <c r="AE312" s="2">
        <v>0</v>
      </c>
      <c r="AF312" s="4">
        <v>4199600</v>
      </c>
      <c r="AG312" s="8">
        <v>43003.9</v>
      </c>
      <c r="AH312" s="8">
        <f t="shared" si="16"/>
        <v>46233.492890000001</v>
      </c>
      <c r="AI312" s="8">
        <f t="shared" si="17"/>
        <v>3229.5928899999999</v>
      </c>
      <c r="AJ312" s="8">
        <f t="shared" si="18"/>
        <v>45330.410990000004</v>
      </c>
      <c r="AK312" s="8">
        <f t="shared" si="19"/>
        <v>2326.5109900000025</v>
      </c>
    </row>
    <row r="313" spans="1:37" x14ac:dyDescent="0.3">
      <c r="A313" s="1">
        <v>324</v>
      </c>
      <c r="B313" s="2" t="s">
        <v>2091</v>
      </c>
      <c r="C313" s="2" t="s">
        <v>371</v>
      </c>
      <c r="D313" s="2" t="s">
        <v>1905</v>
      </c>
      <c r="E313" s="1">
        <v>1</v>
      </c>
      <c r="F313" s="2" t="s">
        <v>2092</v>
      </c>
      <c r="G313" s="2" t="s">
        <v>571</v>
      </c>
      <c r="H313" s="2" t="s">
        <v>31</v>
      </c>
      <c r="I313" s="2" t="s">
        <v>2068</v>
      </c>
      <c r="J313" s="2" t="s">
        <v>31</v>
      </c>
      <c r="K313" s="10" t="s">
        <v>31</v>
      </c>
      <c r="L313" s="2" t="s">
        <v>2093</v>
      </c>
      <c r="M313" s="2" t="s">
        <v>2094</v>
      </c>
      <c r="N313" s="2" t="s">
        <v>31</v>
      </c>
      <c r="O313" s="2" t="s">
        <v>31</v>
      </c>
      <c r="P313" s="2" t="s">
        <v>2095</v>
      </c>
      <c r="Q313" s="2" t="s">
        <v>59</v>
      </c>
      <c r="R313" s="2" t="s">
        <v>48</v>
      </c>
      <c r="S313" s="2" t="s">
        <v>31</v>
      </c>
      <c r="T313" s="2" t="s">
        <v>60</v>
      </c>
      <c r="U313" s="2">
        <v>11671</v>
      </c>
      <c r="V313" s="10">
        <v>1910</v>
      </c>
      <c r="W313" s="10">
        <v>4052</v>
      </c>
      <c r="X313" s="11">
        <v>0</v>
      </c>
      <c r="Y313" s="11">
        <v>1</v>
      </c>
      <c r="Z313" s="2" t="s">
        <v>2075</v>
      </c>
      <c r="AA313" s="2" t="s">
        <v>2096</v>
      </c>
      <c r="AB313" s="3">
        <v>43059</v>
      </c>
      <c r="AC313" s="2">
        <v>1</v>
      </c>
      <c r="AD313" s="2" t="s">
        <v>107</v>
      </c>
      <c r="AE313" s="2">
        <v>0</v>
      </c>
      <c r="AF313" s="4">
        <v>3463400</v>
      </c>
      <c r="AG313" s="8">
        <v>31830.28</v>
      </c>
      <c r="AH313" s="8">
        <f t="shared" si="16"/>
        <v>34220.734027999999</v>
      </c>
      <c r="AI313" s="8">
        <f t="shared" si="17"/>
        <v>2390.4540280000001</v>
      </c>
      <c r="AJ313" s="8">
        <f t="shared" si="18"/>
        <v>33552.298148000002</v>
      </c>
      <c r="AK313" s="8">
        <f t="shared" si="19"/>
        <v>1722.0181480000028</v>
      </c>
    </row>
    <row r="314" spans="1:37" x14ac:dyDescent="0.3">
      <c r="A314" s="1">
        <v>325</v>
      </c>
      <c r="B314" s="2" t="s">
        <v>2097</v>
      </c>
      <c r="C314" s="2" t="s">
        <v>371</v>
      </c>
      <c r="D314" s="2" t="s">
        <v>1905</v>
      </c>
      <c r="E314" s="1">
        <v>1</v>
      </c>
      <c r="F314" s="2" t="s">
        <v>2098</v>
      </c>
      <c r="G314" s="2" t="s">
        <v>585</v>
      </c>
      <c r="H314" s="2" t="s">
        <v>31</v>
      </c>
      <c r="I314" s="2" t="s">
        <v>2068</v>
      </c>
      <c r="J314" s="2" t="s">
        <v>31</v>
      </c>
      <c r="K314" s="10" t="s">
        <v>31</v>
      </c>
      <c r="L314" s="2" t="s">
        <v>2099</v>
      </c>
      <c r="M314" s="2" t="s">
        <v>2100</v>
      </c>
      <c r="N314" s="2" t="s">
        <v>31</v>
      </c>
      <c r="O314" s="2" t="s">
        <v>31</v>
      </c>
      <c r="P314" s="2" t="s">
        <v>2101</v>
      </c>
      <c r="Q314" s="2" t="s">
        <v>59</v>
      </c>
      <c r="R314" s="2" t="s">
        <v>48</v>
      </c>
      <c r="S314" s="2" t="s">
        <v>31</v>
      </c>
      <c r="T314" s="2" t="s">
        <v>60</v>
      </c>
      <c r="U314" s="2">
        <v>9798</v>
      </c>
      <c r="V314" s="10">
        <v>1910</v>
      </c>
      <c r="W314" s="10">
        <v>3745.0000199999999</v>
      </c>
      <c r="X314" s="11">
        <v>0</v>
      </c>
      <c r="Y314" s="11">
        <v>1</v>
      </c>
      <c r="Z314" s="2" t="s">
        <v>2075</v>
      </c>
      <c r="AA314" s="2" t="s">
        <v>2102</v>
      </c>
      <c r="AB314" s="3">
        <v>42033</v>
      </c>
      <c r="AC314" s="2">
        <v>2175000</v>
      </c>
      <c r="AD314" s="2" t="s">
        <v>107</v>
      </c>
      <c r="AE314" s="2">
        <v>0</v>
      </c>
      <c r="AF314" s="4">
        <v>3337000</v>
      </c>
      <c r="AG314" s="8">
        <v>30535.95</v>
      </c>
      <c r="AH314" s="8">
        <f t="shared" si="16"/>
        <v>32829.199844999996</v>
      </c>
      <c r="AI314" s="8">
        <f t="shared" si="17"/>
        <v>2293.2498449999948</v>
      </c>
      <c r="AJ314" s="8">
        <f t="shared" si="18"/>
        <v>32187.944895000001</v>
      </c>
      <c r="AK314" s="8">
        <f t="shared" si="19"/>
        <v>1651.9948949999998</v>
      </c>
    </row>
    <row r="315" spans="1:37" x14ac:dyDescent="0.3">
      <c r="A315" s="1">
        <v>326</v>
      </c>
      <c r="B315" s="2" t="s">
        <v>2103</v>
      </c>
      <c r="C315" s="2" t="s">
        <v>371</v>
      </c>
      <c r="D315" s="2" t="s">
        <v>1905</v>
      </c>
      <c r="E315" s="1">
        <v>1</v>
      </c>
      <c r="F315" s="2" t="s">
        <v>2104</v>
      </c>
      <c r="G315" s="2" t="s">
        <v>2105</v>
      </c>
      <c r="H315" s="2" t="s">
        <v>31</v>
      </c>
      <c r="I315" s="2" t="s">
        <v>2068</v>
      </c>
      <c r="J315" s="2" t="s">
        <v>31</v>
      </c>
      <c r="K315" s="10" t="s">
        <v>31</v>
      </c>
      <c r="L315" s="2" t="s">
        <v>802</v>
      </c>
      <c r="M315" s="2" t="s">
        <v>2106</v>
      </c>
      <c r="N315" s="2" t="s">
        <v>31</v>
      </c>
      <c r="O315" s="2" t="s">
        <v>31</v>
      </c>
      <c r="P315" s="2" t="s">
        <v>2107</v>
      </c>
      <c r="Q315" s="2" t="s">
        <v>59</v>
      </c>
      <c r="R315" s="2" t="s">
        <v>48</v>
      </c>
      <c r="S315" s="2" t="s">
        <v>31</v>
      </c>
      <c r="T315" s="2" t="s">
        <v>60</v>
      </c>
      <c r="U315" s="2">
        <v>8337</v>
      </c>
      <c r="V315" s="10">
        <v>1906</v>
      </c>
      <c r="W315" s="10">
        <v>6742.3999899999999</v>
      </c>
      <c r="X315" s="11">
        <v>0</v>
      </c>
      <c r="Y315" s="11">
        <v>1</v>
      </c>
      <c r="Z315" s="2" t="s">
        <v>2075</v>
      </c>
      <c r="AA315" s="2" t="s">
        <v>2108</v>
      </c>
      <c r="AB315" s="3">
        <v>42853</v>
      </c>
      <c r="AC315" s="2">
        <v>1</v>
      </c>
      <c r="AD315" s="2" t="s">
        <v>107</v>
      </c>
      <c r="AE315" s="2">
        <v>0</v>
      </c>
      <c r="AF315" s="4">
        <v>5189200</v>
      </c>
      <c r="AG315" s="8">
        <v>49502.47</v>
      </c>
      <c r="AH315" s="8">
        <f t="shared" si="16"/>
        <v>53220.105496999997</v>
      </c>
      <c r="AI315" s="8">
        <f t="shared" si="17"/>
        <v>3717.6354969999957</v>
      </c>
      <c r="AJ315" s="8">
        <f t="shared" si="18"/>
        <v>52180.553627000001</v>
      </c>
      <c r="AK315" s="8">
        <f t="shared" si="19"/>
        <v>2678.083627</v>
      </c>
    </row>
    <row r="316" spans="1:37" x14ac:dyDescent="0.3">
      <c r="A316" s="1">
        <v>327</v>
      </c>
      <c r="B316" s="2" t="s">
        <v>2109</v>
      </c>
      <c r="C316" s="2" t="s">
        <v>371</v>
      </c>
      <c r="D316" s="2" t="s">
        <v>1905</v>
      </c>
      <c r="E316" s="1">
        <v>1</v>
      </c>
      <c r="F316" s="2" t="s">
        <v>2110</v>
      </c>
      <c r="G316" s="2" t="s">
        <v>2111</v>
      </c>
      <c r="H316" s="2" t="s">
        <v>31</v>
      </c>
      <c r="I316" s="2" t="s">
        <v>2068</v>
      </c>
      <c r="J316" s="2" t="s">
        <v>31</v>
      </c>
      <c r="K316" s="10" t="s">
        <v>31</v>
      </c>
      <c r="L316" s="2" t="s">
        <v>2112</v>
      </c>
      <c r="M316" s="2" t="s">
        <v>2113</v>
      </c>
      <c r="N316" s="2" t="s">
        <v>31</v>
      </c>
      <c r="O316" s="2" t="s">
        <v>31</v>
      </c>
      <c r="P316" s="2" t="s">
        <v>2114</v>
      </c>
      <c r="Q316" s="2" t="s">
        <v>86</v>
      </c>
      <c r="R316" s="2" t="s">
        <v>48</v>
      </c>
      <c r="S316" s="2" t="s">
        <v>31</v>
      </c>
      <c r="T316" s="2" t="s">
        <v>2115</v>
      </c>
      <c r="U316" s="2">
        <v>16634</v>
      </c>
      <c r="V316" s="10">
        <v>1910</v>
      </c>
      <c r="W316" s="10">
        <v>6347.5500199999997</v>
      </c>
      <c r="X316" s="11">
        <v>0</v>
      </c>
      <c r="Y316" s="11">
        <v>1</v>
      </c>
      <c r="Z316" s="2" t="s">
        <v>2075</v>
      </c>
      <c r="AA316" s="2" t="s">
        <v>2116</v>
      </c>
      <c r="AB316" s="3">
        <v>44183</v>
      </c>
      <c r="AC316" s="2">
        <v>3000000</v>
      </c>
      <c r="AD316" s="2" t="s">
        <v>39</v>
      </c>
      <c r="AE316" s="2">
        <v>0</v>
      </c>
      <c r="AF316" s="4">
        <v>4435200</v>
      </c>
      <c r="AG316" s="8">
        <v>45416.45</v>
      </c>
      <c r="AH316" s="8">
        <f t="shared" si="16"/>
        <v>48827.225394999994</v>
      </c>
      <c r="AI316" s="8">
        <f t="shared" si="17"/>
        <v>3410.7753949999969</v>
      </c>
      <c r="AJ316" s="8">
        <f t="shared" si="18"/>
        <v>47873.479944999999</v>
      </c>
      <c r="AK316" s="8">
        <f t="shared" si="19"/>
        <v>2457.029945000002</v>
      </c>
    </row>
    <row r="317" spans="1:37" x14ac:dyDescent="0.3">
      <c r="A317" s="1">
        <v>328</v>
      </c>
      <c r="B317" s="2" t="s">
        <v>2117</v>
      </c>
      <c r="C317" s="2" t="s">
        <v>371</v>
      </c>
      <c r="D317" s="2" t="s">
        <v>1905</v>
      </c>
      <c r="E317" s="1">
        <v>2</v>
      </c>
      <c r="F317" s="2" t="s">
        <v>2118</v>
      </c>
      <c r="G317" s="2" t="s">
        <v>2119</v>
      </c>
      <c r="H317" s="2" t="s">
        <v>31</v>
      </c>
      <c r="I317" s="2" t="s">
        <v>2068</v>
      </c>
      <c r="J317" s="2" t="s">
        <v>31</v>
      </c>
      <c r="K317" s="10" t="s">
        <v>31</v>
      </c>
      <c r="L317" s="2" t="s">
        <v>2120</v>
      </c>
      <c r="M317" s="2" t="s">
        <v>2121</v>
      </c>
      <c r="N317" s="2" t="s">
        <v>31</v>
      </c>
      <c r="O317" s="2" t="s">
        <v>31</v>
      </c>
      <c r="P317" s="2" t="s">
        <v>2122</v>
      </c>
      <c r="Q317" s="2" t="s">
        <v>59</v>
      </c>
      <c r="R317" s="2" t="s">
        <v>48</v>
      </c>
      <c r="S317" s="2" t="s">
        <v>31</v>
      </c>
      <c r="T317" s="2" t="s">
        <v>60</v>
      </c>
      <c r="U317" s="2">
        <v>7885</v>
      </c>
      <c r="V317" s="10">
        <v>1910</v>
      </c>
      <c r="W317" s="10">
        <v>3963.8</v>
      </c>
      <c r="X317" s="11">
        <v>0</v>
      </c>
      <c r="Y317" s="11">
        <v>2</v>
      </c>
      <c r="Z317" s="2" t="s">
        <v>2075</v>
      </c>
      <c r="AA317" s="2" t="s">
        <v>2123</v>
      </c>
      <c r="AB317" s="3">
        <v>42195</v>
      </c>
      <c r="AC317" s="2">
        <v>2300000</v>
      </c>
      <c r="AD317" s="2" t="s">
        <v>107</v>
      </c>
      <c r="AE317" s="2">
        <v>0</v>
      </c>
      <c r="AF317" s="4">
        <v>3713700</v>
      </c>
      <c r="AG317" s="8">
        <v>34393.35</v>
      </c>
      <c r="AH317" s="8">
        <f t="shared" si="16"/>
        <v>36976.290584999995</v>
      </c>
      <c r="AI317" s="8">
        <f t="shared" si="17"/>
        <v>2582.9405849999966</v>
      </c>
      <c r="AJ317" s="8">
        <f t="shared" si="18"/>
        <v>36254.030234999998</v>
      </c>
      <c r="AK317" s="8">
        <f t="shared" si="19"/>
        <v>1860.6802349999998</v>
      </c>
    </row>
    <row r="318" spans="1:37" x14ac:dyDescent="0.3">
      <c r="A318" s="1">
        <v>329</v>
      </c>
      <c r="B318" s="2" t="s">
        <v>2124</v>
      </c>
      <c r="C318" s="2" t="s">
        <v>371</v>
      </c>
      <c r="D318" s="2" t="s">
        <v>1905</v>
      </c>
      <c r="E318" s="1">
        <v>1</v>
      </c>
      <c r="F318" s="2" t="s">
        <v>2125</v>
      </c>
      <c r="G318" s="2" t="s">
        <v>830</v>
      </c>
      <c r="H318" s="2" t="s">
        <v>31</v>
      </c>
      <c r="I318" s="2" t="s">
        <v>2068</v>
      </c>
      <c r="J318" s="2" t="s">
        <v>31</v>
      </c>
      <c r="K318" s="10" t="s">
        <v>31</v>
      </c>
      <c r="L318" s="2" t="s">
        <v>2126</v>
      </c>
      <c r="M318" s="2" t="s">
        <v>2127</v>
      </c>
      <c r="N318" s="2" t="s">
        <v>31</v>
      </c>
      <c r="O318" s="2" t="s">
        <v>31</v>
      </c>
      <c r="P318" s="2" t="s">
        <v>2128</v>
      </c>
      <c r="Q318" s="2" t="s">
        <v>59</v>
      </c>
      <c r="R318" s="2" t="s">
        <v>48</v>
      </c>
      <c r="S318" s="2" t="s">
        <v>31</v>
      </c>
      <c r="T318" s="2" t="s">
        <v>60</v>
      </c>
      <c r="U318" s="2">
        <v>9692</v>
      </c>
      <c r="V318" s="10">
        <v>1900</v>
      </c>
      <c r="W318" s="10">
        <v>907.20001999999999</v>
      </c>
      <c r="X318" s="11">
        <v>0</v>
      </c>
      <c r="Y318" s="11">
        <v>1</v>
      </c>
      <c r="Z318" s="2" t="s">
        <v>2075</v>
      </c>
      <c r="AA318" s="2" t="s">
        <v>2129</v>
      </c>
      <c r="AB318" s="3">
        <v>42830</v>
      </c>
      <c r="AC318" s="2">
        <v>1</v>
      </c>
      <c r="AD318" s="2" t="s">
        <v>39</v>
      </c>
      <c r="AE318" s="2">
        <v>0</v>
      </c>
      <c r="AF318" s="4">
        <v>1709000</v>
      </c>
      <c r="AG318" s="8">
        <v>17500.16</v>
      </c>
      <c r="AH318" s="8">
        <f t="shared" si="16"/>
        <v>18814.422016</v>
      </c>
      <c r="AI318" s="8">
        <f t="shared" si="17"/>
        <v>1314.2620160000006</v>
      </c>
      <c r="AJ318" s="8">
        <f t="shared" si="18"/>
        <v>18446.918656000002</v>
      </c>
      <c r="AK318" s="8">
        <f t="shared" si="19"/>
        <v>946.75865600000179</v>
      </c>
    </row>
    <row r="319" spans="1:37" x14ac:dyDescent="0.3">
      <c r="A319" s="1">
        <v>330</v>
      </c>
      <c r="B319" s="2" t="s">
        <v>2130</v>
      </c>
      <c r="C319" s="2" t="s">
        <v>371</v>
      </c>
      <c r="D319" s="2" t="s">
        <v>1905</v>
      </c>
      <c r="E319" s="1">
        <v>1</v>
      </c>
      <c r="F319" s="2" t="s">
        <v>2131</v>
      </c>
      <c r="G319" s="2" t="s">
        <v>342</v>
      </c>
      <c r="H319" s="2" t="s">
        <v>31</v>
      </c>
      <c r="I319" s="2" t="s">
        <v>2068</v>
      </c>
      <c r="J319" s="2" t="s">
        <v>31</v>
      </c>
      <c r="K319" s="10" t="s">
        <v>31</v>
      </c>
      <c r="L319" s="2" t="s">
        <v>2126</v>
      </c>
      <c r="M319" s="2" t="s">
        <v>2127</v>
      </c>
      <c r="N319" s="2" t="s">
        <v>31</v>
      </c>
      <c r="O319" s="2" t="s">
        <v>31</v>
      </c>
      <c r="P319" s="2" t="s">
        <v>2128</v>
      </c>
      <c r="Q319" s="2" t="s">
        <v>59</v>
      </c>
      <c r="R319" s="2" t="s">
        <v>48</v>
      </c>
      <c r="S319" s="2" t="s">
        <v>31</v>
      </c>
      <c r="T319" s="2" t="s">
        <v>60</v>
      </c>
      <c r="U319" s="2">
        <v>9636</v>
      </c>
      <c r="V319" s="10">
        <v>1900</v>
      </c>
      <c r="W319" s="10">
        <v>3840</v>
      </c>
      <c r="X319" s="11">
        <v>0</v>
      </c>
      <c r="Y319" s="11">
        <v>1</v>
      </c>
      <c r="Z319" s="2" t="s">
        <v>2075</v>
      </c>
      <c r="AA319" s="2" t="s">
        <v>2129</v>
      </c>
      <c r="AB319" s="3">
        <v>42830</v>
      </c>
      <c r="AC319" s="2">
        <v>1</v>
      </c>
      <c r="AD319" s="2" t="s">
        <v>39</v>
      </c>
      <c r="AE319" s="2">
        <v>0</v>
      </c>
      <c r="AF319" s="4">
        <v>3145800</v>
      </c>
      <c r="AG319" s="8">
        <v>32212.99</v>
      </c>
      <c r="AH319" s="8">
        <f t="shared" si="16"/>
        <v>34632.185549000002</v>
      </c>
      <c r="AI319" s="8">
        <f t="shared" si="17"/>
        <v>2419.195549</v>
      </c>
      <c r="AJ319" s="8">
        <f t="shared" si="18"/>
        <v>33955.712759000002</v>
      </c>
      <c r="AK319" s="8">
        <f t="shared" si="19"/>
        <v>1742.7227590000002</v>
      </c>
    </row>
    <row r="320" spans="1:37" x14ac:dyDescent="0.3">
      <c r="A320" s="1">
        <v>331</v>
      </c>
      <c r="B320" s="2" t="s">
        <v>2132</v>
      </c>
      <c r="C320" s="2" t="s">
        <v>417</v>
      </c>
      <c r="D320" s="2" t="s">
        <v>1905</v>
      </c>
      <c r="E320" s="1" t="s">
        <v>31</v>
      </c>
      <c r="F320" s="2" t="s">
        <v>2133</v>
      </c>
      <c r="G320" s="2" t="s">
        <v>2134</v>
      </c>
      <c r="H320" s="2" t="s">
        <v>31</v>
      </c>
      <c r="I320" s="2" t="s">
        <v>2068</v>
      </c>
      <c r="J320" s="2" t="s">
        <v>31</v>
      </c>
      <c r="K320" s="10" t="s">
        <v>31</v>
      </c>
      <c r="L320" s="2" t="s">
        <v>2126</v>
      </c>
      <c r="M320" s="2" t="s">
        <v>2127</v>
      </c>
      <c r="N320" s="2" t="s">
        <v>31</v>
      </c>
      <c r="O320" s="2" t="s">
        <v>31</v>
      </c>
      <c r="P320" s="2" t="s">
        <v>2128</v>
      </c>
      <c r="Q320" s="2" t="s">
        <v>668</v>
      </c>
      <c r="R320" s="2" t="s">
        <v>48</v>
      </c>
      <c r="S320" s="2" t="s">
        <v>31</v>
      </c>
      <c r="T320" s="2" t="s">
        <v>60</v>
      </c>
      <c r="U320" s="2">
        <v>14313</v>
      </c>
      <c r="V320" s="10" t="s">
        <v>31</v>
      </c>
      <c r="W320" s="10">
        <v>0</v>
      </c>
      <c r="X320" s="11" t="s">
        <v>31</v>
      </c>
      <c r="Y320" s="11" t="s">
        <v>31</v>
      </c>
      <c r="Z320" s="2" t="s">
        <v>2075</v>
      </c>
      <c r="AA320" s="2" t="s">
        <v>2129</v>
      </c>
      <c r="AB320" s="3">
        <v>42830</v>
      </c>
      <c r="AC320" s="2">
        <v>1</v>
      </c>
      <c r="AD320" s="2" t="s">
        <v>39</v>
      </c>
      <c r="AE320" s="2" t="s">
        <v>31</v>
      </c>
      <c r="AF320" s="4">
        <v>1584100</v>
      </c>
      <c r="AG320" s="8">
        <v>16221.18</v>
      </c>
      <c r="AH320" s="8">
        <f t="shared" si="16"/>
        <v>17439.390617999998</v>
      </c>
      <c r="AI320" s="8">
        <f t="shared" si="17"/>
        <v>1218.2106179999973</v>
      </c>
      <c r="AJ320" s="8">
        <f t="shared" si="18"/>
        <v>17098.745838000003</v>
      </c>
      <c r="AK320" s="8">
        <f t="shared" si="19"/>
        <v>877.56583800000226</v>
      </c>
    </row>
    <row r="321" spans="1:37" x14ac:dyDescent="0.3">
      <c r="A321" s="1">
        <v>332</v>
      </c>
      <c r="B321" s="2" t="s">
        <v>2135</v>
      </c>
      <c r="C321" s="2" t="s">
        <v>371</v>
      </c>
      <c r="D321" s="2" t="s">
        <v>1905</v>
      </c>
      <c r="E321" s="1">
        <v>1</v>
      </c>
      <c r="F321" s="2" t="s">
        <v>2136</v>
      </c>
      <c r="G321" s="2" t="s">
        <v>2137</v>
      </c>
      <c r="H321" s="2" t="s">
        <v>31</v>
      </c>
      <c r="I321" s="2" t="s">
        <v>1944</v>
      </c>
      <c r="J321" s="2" t="s">
        <v>31</v>
      </c>
      <c r="K321" s="10" t="s">
        <v>31</v>
      </c>
      <c r="L321" s="2" t="s">
        <v>2138</v>
      </c>
      <c r="M321" s="2" t="s">
        <v>2139</v>
      </c>
      <c r="N321" s="2" t="s">
        <v>31</v>
      </c>
      <c r="O321" s="2" t="s">
        <v>31</v>
      </c>
      <c r="P321" s="2" t="s">
        <v>2140</v>
      </c>
      <c r="Q321" s="2" t="s">
        <v>59</v>
      </c>
      <c r="R321" s="2" t="s">
        <v>48</v>
      </c>
      <c r="S321" s="2" t="s">
        <v>31</v>
      </c>
      <c r="T321" s="2" t="s">
        <v>60</v>
      </c>
      <c r="U321" s="2">
        <v>9793</v>
      </c>
      <c r="V321" s="10">
        <v>1910</v>
      </c>
      <c r="W321" s="10">
        <v>3705.2</v>
      </c>
      <c r="X321" s="11">
        <v>0</v>
      </c>
      <c r="Y321" s="11">
        <v>1</v>
      </c>
      <c r="Z321" s="2" t="s">
        <v>2075</v>
      </c>
      <c r="AA321" s="2" t="s">
        <v>2141</v>
      </c>
      <c r="AB321" s="3">
        <v>37949</v>
      </c>
      <c r="AC321" s="2">
        <v>1392500</v>
      </c>
      <c r="AD321" s="2" t="s">
        <v>107</v>
      </c>
      <c r="AE321" s="2">
        <v>0</v>
      </c>
      <c r="AF321" s="4">
        <v>3083500</v>
      </c>
      <c r="AG321" s="8">
        <v>27940.11</v>
      </c>
      <c r="AH321" s="8">
        <f t="shared" si="16"/>
        <v>30038.412260999998</v>
      </c>
      <c r="AI321" s="8">
        <f t="shared" si="17"/>
        <v>2098.3022609999971</v>
      </c>
      <c r="AJ321" s="8">
        <f t="shared" si="18"/>
        <v>29451.669951</v>
      </c>
      <c r="AK321" s="8">
        <f t="shared" si="19"/>
        <v>1511.5599509999993</v>
      </c>
    </row>
    <row r="322" spans="1:37" x14ac:dyDescent="0.3">
      <c r="A322" s="1">
        <v>333</v>
      </c>
      <c r="B322" s="2" t="s">
        <v>2142</v>
      </c>
      <c r="C322" s="2" t="s">
        <v>371</v>
      </c>
      <c r="D322" s="2" t="s">
        <v>1905</v>
      </c>
      <c r="E322" s="1">
        <v>1</v>
      </c>
      <c r="F322" s="2" t="s">
        <v>2143</v>
      </c>
      <c r="G322" s="2" t="s">
        <v>2144</v>
      </c>
      <c r="H322" s="2" t="s">
        <v>31</v>
      </c>
      <c r="I322" s="2" t="s">
        <v>1944</v>
      </c>
      <c r="J322" s="2" t="s">
        <v>31</v>
      </c>
      <c r="K322" s="10" t="s">
        <v>31</v>
      </c>
      <c r="L322" s="2" t="s">
        <v>2145</v>
      </c>
      <c r="M322" s="2" t="s">
        <v>2146</v>
      </c>
      <c r="N322" s="2" t="s">
        <v>2147</v>
      </c>
      <c r="O322" s="2" t="s">
        <v>2148</v>
      </c>
      <c r="P322" s="2" t="s">
        <v>2149</v>
      </c>
      <c r="Q322" s="2" t="s">
        <v>59</v>
      </c>
      <c r="R322" s="2" t="s">
        <v>48</v>
      </c>
      <c r="S322" s="2" t="s">
        <v>31</v>
      </c>
      <c r="T322" s="2" t="s">
        <v>60</v>
      </c>
      <c r="U322" s="2">
        <v>8058</v>
      </c>
      <c r="V322" s="10">
        <v>1910</v>
      </c>
      <c r="W322" s="10">
        <v>5337.8000099999999</v>
      </c>
      <c r="X322" s="11">
        <v>0</v>
      </c>
      <c r="Y322" s="11">
        <v>1</v>
      </c>
      <c r="Z322" s="2" t="s">
        <v>2075</v>
      </c>
      <c r="AA322" s="2" t="s">
        <v>2150</v>
      </c>
      <c r="AB322" s="3">
        <v>36797</v>
      </c>
      <c r="AC322" s="2">
        <v>1175000</v>
      </c>
      <c r="AD322" s="2" t="s">
        <v>107</v>
      </c>
      <c r="AE322" s="2">
        <v>0</v>
      </c>
      <c r="AF322" s="4">
        <v>4141300</v>
      </c>
      <c r="AG322" s="8">
        <v>38771.980000000003</v>
      </c>
      <c r="AH322" s="8">
        <f t="shared" si="16"/>
        <v>41683.755698000001</v>
      </c>
      <c r="AI322" s="8">
        <f t="shared" si="17"/>
        <v>2911.7756979999976</v>
      </c>
      <c r="AJ322" s="8">
        <f t="shared" si="18"/>
        <v>40869.544118000005</v>
      </c>
      <c r="AK322" s="8">
        <f t="shared" si="19"/>
        <v>2097.5641180000021</v>
      </c>
    </row>
    <row r="323" spans="1:37" x14ac:dyDescent="0.3">
      <c r="A323" s="1">
        <v>334</v>
      </c>
      <c r="B323" s="2" t="s">
        <v>2151</v>
      </c>
      <c r="C323" s="2" t="s">
        <v>371</v>
      </c>
      <c r="D323" s="2" t="s">
        <v>1905</v>
      </c>
      <c r="E323" s="1">
        <v>2</v>
      </c>
      <c r="F323" s="2" t="s">
        <v>2152</v>
      </c>
      <c r="G323" s="2" t="s">
        <v>2153</v>
      </c>
      <c r="H323" s="2" t="s">
        <v>31</v>
      </c>
      <c r="I323" s="2" t="s">
        <v>1944</v>
      </c>
      <c r="J323" s="2" t="s">
        <v>31</v>
      </c>
      <c r="K323" s="10" t="s">
        <v>31</v>
      </c>
      <c r="L323" s="2" t="s">
        <v>2154</v>
      </c>
      <c r="M323" s="2" t="s">
        <v>2155</v>
      </c>
      <c r="N323" s="2" t="s">
        <v>2156</v>
      </c>
      <c r="O323" s="2" t="s">
        <v>2157</v>
      </c>
      <c r="P323" s="2" t="s">
        <v>2158</v>
      </c>
      <c r="Q323" s="2" t="s">
        <v>59</v>
      </c>
      <c r="R323" s="2" t="s">
        <v>48</v>
      </c>
      <c r="S323" s="2" t="s">
        <v>31</v>
      </c>
      <c r="T323" s="2" t="s">
        <v>60</v>
      </c>
      <c r="U323" s="2">
        <v>8929</v>
      </c>
      <c r="V323" s="10">
        <v>1910</v>
      </c>
      <c r="W323" s="10">
        <v>4719.8000199999997</v>
      </c>
      <c r="X323" s="11">
        <v>0</v>
      </c>
      <c r="Y323" s="11">
        <v>2</v>
      </c>
      <c r="Z323" s="2" t="s">
        <v>2075</v>
      </c>
      <c r="AA323" s="2" t="s">
        <v>2159</v>
      </c>
      <c r="AB323" s="3">
        <v>41257</v>
      </c>
      <c r="AC323" s="2">
        <v>2350000</v>
      </c>
      <c r="AD323" s="2" t="s">
        <v>107</v>
      </c>
      <c r="AE323" s="2">
        <v>0</v>
      </c>
      <c r="AF323" s="4">
        <v>3772200</v>
      </c>
      <c r="AG323" s="8">
        <v>34992.39</v>
      </c>
      <c r="AH323" s="8">
        <f t="shared" ref="AH323:AH386" si="20">AG323*1.0751</f>
        <v>37620.318488999997</v>
      </c>
      <c r="AI323" s="8">
        <f t="shared" ref="AI323:AI386" si="21">AH323-AG323</f>
        <v>2627.9284889999981</v>
      </c>
      <c r="AJ323" s="8">
        <f t="shared" ref="AJ323:AJ386" si="22">AG323*1.0541</f>
        <v>36885.478299000002</v>
      </c>
      <c r="AK323" s="8">
        <f t="shared" ref="AK323:AK386" si="23">AJ323-AG323</f>
        <v>1893.0882990000027</v>
      </c>
    </row>
    <row r="324" spans="1:37" x14ac:dyDescent="0.3">
      <c r="A324" s="1">
        <v>335</v>
      </c>
      <c r="B324" s="2" t="s">
        <v>2160</v>
      </c>
      <c r="C324" s="2" t="s">
        <v>371</v>
      </c>
      <c r="D324" s="2" t="s">
        <v>1905</v>
      </c>
      <c r="E324" s="1">
        <v>1</v>
      </c>
      <c r="F324" s="2" t="s">
        <v>2161</v>
      </c>
      <c r="G324" s="2" t="s">
        <v>2162</v>
      </c>
      <c r="H324" s="2" t="s">
        <v>31</v>
      </c>
      <c r="I324" s="2" t="s">
        <v>1944</v>
      </c>
      <c r="J324" s="2" t="s">
        <v>31</v>
      </c>
      <c r="K324" s="10" t="s">
        <v>31</v>
      </c>
      <c r="L324" s="2" t="s">
        <v>2163</v>
      </c>
      <c r="M324" s="2" t="s">
        <v>2164</v>
      </c>
      <c r="N324" s="2" t="s">
        <v>31</v>
      </c>
      <c r="O324" s="2" t="s">
        <v>31</v>
      </c>
      <c r="P324" s="2" t="s">
        <v>2165</v>
      </c>
      <c r="Q324" s="2" t="s">
        <v>59</v>
      </c>
      <c r="R324" s="2" t="s">
        <v>48</v>
      </c>
      <c r="S324" s="2" t="s">
        <v>31</v>
      </c>
      <c r="T324" s="2" t="s">
        <v>60</v>
      </c>
      <c r="U324" s="2">
        <v>10691</v>
      </c>
      <c r="V324" s="10">
        <v>1907</v>
      </c>
      <c r="W324" s="10">
        <v>4659.6000199999999</v>
      </c>
      <c r="X324" s="11">
        <v>0</v>
      </c>
      <c r="Y324" s="11">
        <v>1</v>
      </c>
      <c r="Z324" s="2" t="s">
        <v>2075</v>
      </c>
      <c r="AA324" s="2" t="s">
        <v>2166</v>
      </c>
      <c r="AB324" s="3">
        <v>40479</v>
      </c>
      <c r="AC324" s="2">
        <v>2150000</v>
      </c>
      <c r="AD324" s="2" t="s">
        <v>107</v>
      </c>
      <c r="AE324" s="2">
        <v>0</v>
      </c>
      <c r="AF324" s="4">
        <v>3738600</v>
      </c>
      <c r="AG324" s="8">
        <v>34648.33</v>
      </c>
      <c r="AH324" s="8">
        <f t="shared" si="20"/>
        <v>37250.419583000003</v>
      </c>
      <c r="AI324" s="8">
        <f t="shared" si="21"/>
        <v>2602.0895830000009</v>
      </c>
      <c r="AJ324" s="8">
        <f t="shared" si="22"/>
        <v>36522.804653000007</v>
      </c>
      <c r="AK324" s="8">
        <f t="shared" si="23"/>
        <v>1874.4746530000048</v>
      </c>
    </row>
    <row r="325" spans="1:37" x14ac:dyDescent="0.3">
      <c r="A325" s="1">
        <v>336</v>
      </c>
      <c r="B325" s="2" t="s">
        <v>2167</v>
      </c>
      <c r="C325" s="2" t="s">
        <v>423</v>
      </c>
      <c r="D325" s="2" t="s">
        <v>1905</v>
      </c>
      <c r="E325" s="1">
        <v>2</v>
      </c>
      <c r="F325" s="2" t="s">
        <v>2168</v>
      </c>
      <c r="G325" s="2" t="s">
        <v>2169</v>
      </c>
      <c r="H325" s="2" t="s">
        <v>31</v>
      </c>
      <c r="I325" s="2" t="s">
        <v>1944</v>
      </c>
      <c r="J325" s="2" t="s">
        <v>31</v>
      </c>
      <c r="K325" s="10" t="s">
        <v>31</v>
      </c>
      <c r="L325" s="2" t="s">
        <v>2170</v>
      </c>
      <c r="M325" s="2" t="s">
        <v>2171</v>
      </c>
      <c r="N325" s="2" t="s">
        <v>31</v>
      </c>
      <c r="O325" s="2" t="s">
        <v>31</v>
      </c>
      <c r="P325" s="2" t="s">
        <v>2172</v>
      </c>
      <c r="Q325" s="2" t="s">
        <v>59</v>
      </c>
      <c r="R325" s="2" t="s">
        <v>48</v>
      </c>
      <c r="S325" s="2" t="s">
        <v>31</v>
      </c>
      <c r="T325" s="2" t="s">
        <v>60</v>
      </c>
      <c r="U325" s="2">
        <v>12111</v>
      </c>
      <c r="V325" s="10">
        <v>1905</v>
      </c>
      <c r="W325" s="10">
        <v>5872.4</v>
      </c>
      <c r="X325" s="11">
        <v>0</v>
      </c>
      <c r="Y325" s="11">
        <v>1</v>
      </c>
      <c r="Z325" s="2" t="s">
        <v>2075</v>
      </c>
      <c r="AA325" s="2" t="s">
        <v>2173</v>
      </c>
      <c r="AB325" s="3">
        <v>42220</v>
      </c>
      <c r="AC325" s="2">
        <v>2250000</v>
      </c>
      <c r="AD325" s="2" t="s">
        <v>107</v>
      </c>
      <c r="AE325" s="2">
        <v>0</v>
      </c>
      <c r="AF325" s="4">
        <v>3673500</v>
      </c>
      <c r="AG325" s="8">
        <v>33981.71</v>
      </c>
      <c r="AH325" s="8">
        <f t="shared" si="20"/>
        <v>36533.736420999994</v>
      </c>
      <c r="AI325" s="8">
        <f t="shared" si="21"/>
        <v>2552.026420999995</v>
      </c>
      <c r="AJ325" s="8">
        <f t="shared" si="22"/>
        <v>35820.120511000001</v>
      </c>
      <c r="AK325" s="8">
        <f t="shared" si="23"/>
        <v>1838.4105110000019</v>
      </c>
    </row>
    <row r="326" spans="1:37" x14ac:dyDescent="0.3">
      <c r="A326" s="1">
        <v>337</v>
      </c>
      <c r="B326" s="2" t="s">
        <v>2174</v>
      </c>
      <c r="C326" s="2" t="s">
        <v>371</v>
      </c>
      <c r="D326" s="2" t="s">
        <v>1905</v>
      </c>
      <c r="E326" s="1">
        <v>1</v>
      </c>
      <c r="F326" s="2" t="s">
        <v>2175</v>
      </c>
      <c r="G326" s="2" t="s">
        <v>607</v>
      </c>
      <c r="H326" s="2" t="s">
        <v>31</v>
      </c>
      <c r="I326" s="2" t="s">
        <v>1944</v>
      </c>
      <c r="J326" s="2" t="s">
        <v>31</v>
      </c>
      <c r="K326" s="10" t="s">
        <v>31</v>
      </c>
      <c r="L326" s="2" t="s">
        <v>2176</v>
      </c>
      <c r="M326" s="2" t="s">
        <v>2177</v>
      </c>
      <c r="N326" s="2" t="s">
        <v>31</v>
      </c>
      <c r="O326" s="2" t="s">
        <v>31</v>
      </c>
      <c r="P326" s="2" t="s">
        <v>2178</v>
      </c>
      <c r="Q326" s="2" t="s">
        <v>59</v>
      </c>
      <c r="R326" s="2" t="s">
        <v>48</v>
      </c>
      <c r="S326" s="2" t="s">
        <v>31</v>
      </c>
      <c r="T326" s="2" t="s">
        <v>60</v>
      </c>
      <c r="U326" s="2">
        <v>12720</v>
      </c>
      <c r="V326" s="10">
        <v>1910</v>
      </c>
      <c r="W326" s="10">
        <v>5598.5</v>
      </c>
      <c r="X326" s="11">
        <v>0</v>
      </c>
      <c r="Y326" s="11">
        <v>1</v>
      </c>
      <c r="Z326" s="2" t="s">
        <v>2075</v>
      </c>
      <c r="AA326" s="2" t="s">
        <v>2179</v>
      </c>
      <c r="AB326" s="3">
        <v>37266</v>
      </c>
      <c r="AC326" s="2">
        <v>1802500</v>
      </c>
      <c r="AD326" s="2" t="s">
        <v>107</v>
      </c>
      <c r="AE326" s="2">
        <v>0</v>
      </c>
      <c r="AF326" s="4">
        <v>4717100</v>
      </c>
      <c r="AG326" s="8">
        <v>44668.17</v>
      </c>
      <c r="AH326" s="8">
        <f t="shared" si="20"/>
        <v>48022.749566999999</v>
      </c>
      <c r="AI326" s="8">
        <f t="shared" si="21"/>
        <v>3354.5795670000007</v>
      </c>
      <c r="AJ326" s="8">
        <f t="shared" si="22"/>
        <v>47084.717997</v>
      </c>
      <c r="AK326" s="8">
        <f t="shared" si="23"/>
        <v>2416.5479970000015</v>
      </c>
    </row>
    <row r="327" spans="1:37" x14ac:dyDescent="0.3">
      <c r="A327" s="1">
        <v>338</v>
      </c>
      <c r="B327" s="2" t="s">
        <v>2180</v>
      </c>
      <c r="C327" s="2" t="s">
        <v>371</v>
      </c>
      <c r="D327" s="2" t="s">
        <v>1905</v>
      </c>
      <c r="E327" s="1">
        <v>1</v>
      </c>
      <c r="F327" s="2" t="s">
        <v>2181</v>
      </c>
      <c r="G327" s="2" t="s">
        <v>663</v>
      </c>
      <c r="H327" s="2" t="s">
        <v>31</v>
      </c>
      <c r="I327" s="2" t="s">
        <v>1944</v>
      </c>
      <c r="J327" s="2" t="s">
        <v>31</v>
      </c>
      <c r="K327" s="10" t="s">
        <v>31</v>
      </c>
      <c r="L327" s="2" t="s">
        <v>2182</v>
      </c>
      <c r="M327" s="2" t="s">
        <v>2183</v>
      </c>
      <c r="N327" s="2" t="s">
        <v>31</v>
      </c>
      <c r="O327" s="2" t="s">
        <v>31</v>
      </c>
      <c r="P327" s="2" t="s">
        <v>2184</v>
      </c>
      <c r="Q327" s="2" t="s">
        <v>59</v>
      </c>
      <c r="R327" s="2" t="s">
        <v>48</v>
      </c>
      <c r="S327" s="2" t="s">
        <v>31</v>
      </c>
      <c r="T327" s="2" t="s">
        <v>60</v>
      </c>
      <c r="U327" s="2">
        <v>13045</v>
      </c>
      <c r="V327" s="10">
        <v>1905</v>
      </c>
      <c r="W327" s="10">
        <v>5097.0000200000004</v>
      </c>
      <c r="X327" s="11">
        <v>0</v>
      </c>
      <c r="Y327" s="11">
        <v>1</v>
      </c>
      <c r="Z327" s="2" t="s">
        <v>2075</v>
      </c>
      <c r="AA327" s="2" t="s">
        <v>2185</v>
      </c>
      <c r="AB327" s="3">
        <v>40086</v>
      </c>
      <c r="AC327" s="2">
        <v>1800000</v>
      </c>
      <c r="AD327" s="2" t="s">
        <v>107</v>
      </c>
      <c r="AE327" s="2">
        <v>0</v>
      </c>
      <c r="AF327" s="4">
        <v>4100100</v>
      </c>
      <c r="AG327" s="8">
        <v>38350.089999999997</v>
      </c>
      <c r="AH327" s="8">
        <f t="shared" si="20"/>
        <v>41230.181758999992</v>
      </c>
      <c r="AI327" s="8">
        <f t="shared" si="21"/>
        <v>2880.0917589999954</v>
      </c>
      <c r="AJ327" s="8">
        <f t="shared" si="22"/>
        <v>40424.829869000001</v>
      </c>
      <c r="AK327" s="8">
        <f t="shared" si="23"/>
        <v>2074.7398690000045</v>
      </c>
    </row>
    <row r="328" spans="1:37" x14ac:dyDescent="0.3">
      <c r="A328" s="1">
        <v>339</v>
      </c>
      <c r="B328" s="2" t="s">
        <v>2186</v>
      </c>
      <c r="C328" s="2" t="s">
        <v>371</v>
      </c>
      <c r="D328" s="2" t="s">
        <v>1905</v>
      </c>
      <c r="E328" s="1">
        <v>1</v>
      </c>
      <c r="F328" s="2" t="s">
        <v>2187</v>
      </c>
      <c r="G328" s="2" t="s">
        <v>868</v>
      </c>
      <c r="H328" s="2" t="s">
        <v>31</v>
      </c>
      <c r="I328" s="2" t="s">
        <v>1944</v>
      </c>
      <c r="J328" s="2" t="s">
        <v>31</v>
      </c>
      <c r="K328" s="10" t="s">
        <v>31</v>
      </c>
      <c r="L328" s="2" t="s">
        <v>2188</v>
      </c>
      <c r="M328" s="2" t="s">
        <v>2189</v>
      </c>
      <c r="N328" s="2" t="s">
        <v>31</v>
      </c>
      <c r="O328" s="2" t="s">
        <v>31</v>
      </c>
      <c r="P328" s="2" t="s">
        <v>2190</v>
      </c>
      <c r="Q328" s="2" t="s">
        <v>59</v>
      </c>
      <c r="R328" s="2" t="s">
        <v>48</v>
      </c>
      <c r="S328" s="2" t="s">
        <v>31</v>
      </c>
      <c r="T328" s="2" t="s">
        <v>60</v>
      </c>
      <c r="U328" s="2">
        <v>7768</v>
      </c>
      <c r="V328" s="10">
        <v>1910</v>
      </c>
      <c r="W328" s="10">
        <v>4531.8000199999997</v>
      </c>
      <c r="X328" s="11">
        <v>0</v>
      </c>
      <c r="Y328" s="11">
        <v>1</v>
      </c>
      <c r="Z328" s="2" t="s">
        <v>2075</v>
      </c>
      <c r="AA328" s="2" t="s">
        <v>2191</v>
      </c>
      <c r="AB328" s="3">
        <v>44852</v>
      </c>
      <c r="AC328" s="2">
        <v>4200000</v>
      </c>
      <c r="AD328" s="2" t="s">
        <v>107</v>
      </c>
      <c r="AE328" s="2">
        <v>0</v>
      </c>
      <c r="AF328" s="4">
        <v>3339700</v>
      </c>
      <c r="AG328" s="8">
        <v>30563.59</v>
      </c>
      <c r="AH328" s="8">
        <f t="shared" si="20"/>
        <v>32858.915608999996</v>
      </c>
      <c r="AI328" s="8">
        <f t="shared" si="21"/>
        <v>2295.3256089999959</v>
      </c>
      <c r="AJ328" s="8">
        <f t="shared" si="22"/>
        <v>32217.080218999999</v>
      </c>
      <c r="AK328" s="8">
        <f t="shared" si="23"/>
        <v>1653.4902189999993</v>
      </c>
    </row>
    <row r="329" spans="1:37" x14ac:dyDescent="0.3">
      <c r="A329" s="1">
        <v>340</v>
      </c>
      <c r="B329" s="2" t="s">
        <v>2192</v>
      </c>
      <c r="C329" s="2" t="s">
        <v>371</v>
      </c>
      <c r="D329" s="2" t="s">
        <v>1905</v>
      </c>
      <c r="E329" s="1">
        <v>1</v>
      </c>
      <c r="F329" s="2" t="s">
        <v>2193</v>
      </c>
      <c r="G329" s="2" t="s">
        <v>2194</v>
      </c>
      <c r="H329" s="2" t="s">
        <v>31</v>
      </c>
      <c r="I329" s="2" t="s">
        <v>1944</v>
      </c>
      <c r="J329" s="2" t="s">
        <v>31</v>
      </c>
      <c r="K329" s="10" t="s">
        <v>31</v>
      </c>
      <c r="L329" s="2" t="s">
        <v>2195</v>
      </c>
      <c r="M329" s="2" t="s">
        <v>2196</v>
      </c>
      <c r="N329" s="2" t="s">
        <v>2197</v>
      </c>
      <c r="O329" s="2" t="s">
        <v>2198</v>
      </c>
      <c r="P329" s="2" t="s">
        <v>2199</v>
      </c>
      <c r="Q329" s="2" t="s">
        <v>59</v>
      </c>
      <c r="R329" s="2" t="s">
        <v>48</v>
      </c>
      <c r="S329" s="2" t="s">
        <v>31</v>
      </c>
      <c r="T329" s="2" t="s">
        <v>60</v>
      </c>
      <c r="U329" s="2">
        <v>13222</v>
      </c>
      <c r="V329" s="10">
        <v>1900</v>
      </c>
      <c r="W329" s="10">
        <v>6122.0000300000002</v>
      </c>
      <c r="X329" s="11">
        <v>0</v>
      </c>
      <c r="Y329" s="11">
        <v>1</v>
      </c>
      <c r="Z329" s="2" t="s">
        <v>2075</v>
      </c>
      <c r="AA329" s="2" t="s">
        <v>2200</v>
      </c>
      <c r="AB329" s="3">
        <v>39966</v>
      </c>
      <c r="AC329" s="2">
        <v>2842000</v>
      </c>
      <c r="AD329" s="2" t="s">
        <v>107</v>
      </c>
      <c r="AE329" s="2">
        <v>0</v>
      </c>
      <c r="AF329" s="4">
        <v>5041400</v>
      </c>
      <c r="AG329" s="8">
        <v>47989</v>
      </c>
      <c r="AH329" s="8">
        <f t="shared" si="20"/>
        <v>51592.973899999997</v>
      </c>
      <c r="AI329" s="8">
        <f t="shared" si="21"/>
        <v>3603.9738999999972</v>
      </c>
      <c r="AJ329" s="8">
        <f t="shared" si="22"/>
        <v>50585.204900000004</v>
      </c>
      <c r="AK329" s="8">
        <f t="shared" si="23"/>
        <v>2596.2049000000043</v>
      </c>
    </row>
    <row r="330" spans="1:37" x14ac:dyDescent="0.3">
      <c r="A330" s="1">
        <v>341</v>
      </c>
      <c r="B330" s="2" t="s">
        <v>2201</v>
      </c>
      <c r="C330" s="2" t="s">
        <v>371</v>
      </c>
      <c r="D330" s="2" t="s">
        <v>1905</v>
      </c>
      <c r="E330" s="1">
        <v>1</v>
      </c>
      <c r="F330" s="2" t="s">
        <v>2202</v>
      </c>
      <c r="G330" s="2" t="s">
        <v>523</v>
      </c>
      <c r="H330" s="2" t="s">
        <v>31</v>
      </c>
      <c r="I330" s="2" t="s">
        <v>1944</v>
      </c>
      <c r="J330" s="2" t="s">
        <v>31</v>
      </c>
      <c r="K330" s="10" t="s">
        <v>31</v>
      </c>
      <c r="L330" s="2" t="s">
        <v>2203</v>
      </c>
      <c r="M330" s="2" t="s">
        <v>2204</v>
      </c>
      <c r="N330" s="2" t="s">
        <v>31</v>
      </c>
      <c r="O330" s="2" t="s">
        <v>31</v>
      </c>
      <c r="P330" s="2" t="s">
        <v>2205</v>
      </c>
      <c r="Q330" s="2" t="s">
        <v>59</v>
      </c>
      <c r="R330" s="2" t="s">
        <v>48</v>
      </c>
      <c r="S330" s="2" t="s">
        <v>31</v>
      </c>
      <c r="T330" s="2" t="s">
        <v>60</v>
      </c>
      <c r="U330" s="2">
        <v>7719</v>
      </c>
      <c r="V330" s="10">
        <v>1914</v>
      </c>
      <c r="W330" s="10">
        <v>3792.0000100000002</v>
      </c>
      <c r="X330" s="11">
        <v>0</v>
      </c>
      <c r="Y330" s="11">
        <v>1</v>
      </c>
      <c r="Z330" s="2" t="s">
        <v>2075</v>
      </c>
      <c r="AA330" s="2" t="s">
        <v>2206</v>
      </c>
      <c r="AB330" s="3">
        <v>41962</v>
      </c>
      <c r="AC330" s="2">
        <v>2100000</v>
      </c>
      <c r="AD330" s="2" t="s">
        <v>107</v>
      </c>
      <c r="AE330" s="2">
        <v>0</v>
      </c>
      <c r="AF330" s="4">
        <v>2877700</v>
      </c>
      <c r="AG330" s="8">
        <v>25832.71</v>
      </c>
      <c r="AH330" s="8">
        <f t="shared" si="20"/>
        <v>27772.746520999997</v>
      </c>
      <c r="AI330" s="8">
        <f t="shared" si="21"/>
        <v>1940.0365209999982</v>
      </c>
      <c r="AJ330" s="8">
        <f t="shared" si="22"/>
        <v>27230.259611000001</v>
      </c>
      <c r="AK330" s="8">
        <f t="shared" si="23"/>
        <v>1397.5496110000022</v>
      </c>
    </row>
    <row r="331" spans="1:37" x14ac:dyDescent="0.3">
      <c r="A331" s="1">
        <v>343</v>
      </c>
      <c r="B331" s="2" t="s">
        <v>2207</v>
      </c>
      <c r="C331" s="2" t="s">
        <v>2208</v>
      </c>
      <c r="D331" s="2" t="s">
        <v>101</v>
      </c>
      <c r="E331" s="1" t="s">
        <v>31</v>
      </c>
      <c r="F331" s="2" t="s">
        <v>2209</v>
      </c>
      <c r="G331" s="2" t="s">
        <v>2210</v>
      </c>
      <c r="H331" s="2" t="s">
        <v>31</v>
      </c>
      <c r="I331" s="2" t="s">
        <v>409</v>
      </c>
      <c r="J331" s="2" t="s">
        <v>31</v>
      </c>
      <c r="K331" s="10" t="s">
        <v>31</v>
      </c>
      <c r="L331" s="2" t="s">
        <v>2211</v>
      </c>
      <c r="M331" s="2" t="s">
        <v>31</v>
      </c>
      <c r="N331" s="2" t="s">
        <v>31</v>
      </c>
      <c r="O331" s="2" t="s">
        <v>31</v>
      </c>
      <c r="P331" s="2" t="s">
        <v>2212</v>
      </c>
      <c r="Q331" s="2" t="s">
        <v>59</v>
      </c>
      <c r="R331" s="2" t="s">
        <v>48</v>
      </c>
      <c r="S331" s="2" t="s">
        <v>31</v>
      </c>
      <c r="T331" s="2" t="s">
        <v>60</v>
      </c>
      <c r="U331" s="2">
        <v>25476</v>
      </c>
      <c r="V331" s="10" t="s">
        <v>31</v>
      </c>
      <c r="W331" s="10">
        <v>0</v>
      </c>
      <c r="X331" s="11" t="s">
        <v>31</v>
      </c>
      <c r="Y331" s="11" t="s">
        <v>31</v>
      </c>
      <c r="Z331" s="2" t="s">
        <v>380</v>
      </c>
      <c r="AA331" s="2" t="s">
        <v>2213</v>
      </c>
      <c r="AB331" s="3">
        <v>27939</v>
      </c>
      <c r="AC331" s="2">
        <v>500000</v>
      </c>
      <c r="AD331" s="2" t="s">
        <v>39</v>
      </c>
      <c r="AE331" s="2" t="s">
        <v>31</v>
      </c>
      <c r="AF331" s="4">
        <v>2670100</v>
      </c>
      <c r="AG331" s="8">
        <v>0</v>
      </c>
      <c r="AH331" s="8">
        <f t="shared" si="20"/>
        <v>0</v>
      </c>
      <c r="AI331" s="8">
        <f t="shared" si="21"/>
        <v>0</v>
      </c>
      <c r="AJ331" s="8">
        <f t="shared" si="22"/>
        <v>0</v>
      </c>
      <c r="AK331" s="8">
        <f t="shared" si="23"/>
        <v>0</v>
      </c>
    </row>
    <row r="332" spans="1:37" x14ac:dyDescent="0.3">
      <c r="A332" s="1">
        <v>345</v>
      </c>
      <c r="B332" s="2" t="s">
        <v>2214</v>
      </c>
      <c r="C332" s="2" t="s">
        <v>2208</v>
      </c>
      <c r="D332" s="2" t="s">
        <v>101</v>
      </c>
      <c r="E332" s="1">
        <v>0</v>
      </c>
      <c r="F332" s="2" t="s">
        <v>2215</v>
      </c>
      <c r="G332" s="2" t="s">
        <v>2216</v>
      </c>
      <c r="H332" s="2" t="s">
        <v>31</v>
      </c>
      <c r="I332" s="2" t="s">
        <v>409</v>
      </c>
      <c r="J332" s="2" t="s">
        <v>31</v>
      </c>
      <c r="K332" s="10" t="s">
        <v>31</v>
      </c>
      <c r="L332" s="2" t="s">
        <v>2211</v>
      </c>
      <c r="M332" s="2" t="s">
        <v>31</v>
      </c>
      <c r="N332" s="2" t="s">
        <v>31</v>
      </c>
      <c r="O332" s="2" t="s">
        <v>31</v>
      </c>
      <c r="P332" s="2" t="s">
        <v>2212</v>
      </c>
      <c r="Q332" s="2" t="s">
        <v>59</v>
      </c>
      <c r="R332" s="2" t="s">
        <v>48</v>
      </c>
      <c r="S332" s="2" t="s">
        <v>31</v>
      </c>
      <c r="T332" s="2" t="s">
        <v>60</v>
      </c>
      <c r="U332" s="2">
        <v>56904</v>
      </c>
      <c r="V332" s="10">
        <v>1911</v>
      </c>
      <c r="W332" s="10">
        <v>22770.01</v>
      </c>
      <c r="X332" s="11">
        <v>1</v>
      </c>
      <c r="Y332" s="11">
        <v>0</v>
      </c>
      <c r="Z332" s="2" t="s">
        <v>380</v>
      </c>
      <c r="AA332" s="2" t="s">
        <v>2213</v>
      </c>
      <c r="AB332" s="3">
        <v>27939</v>
      </c>
      <c r="AC332" s="2">
        <v>500000</v>
      </c>
      <c r="AD332" s="2" t="s">
        <v>39</v>
      </c>
      <c r="AE332" s="2">
        <v>0</v>
      </c>
      <c r="AF332" s="4">
        <v>9263800</v>
      </c>
      <c r="AG332" s="8">
        <v>0</v>
      </c>
      <c r="AH332" s="8">
        <f t="shared" si="20"/>
        <v>0</v>
      </c>
      <c r="AI332" s="8">
        <f t="shared" si="21"/>
        <v>0</v>
      </c>
      <c r="AJ332" s="8">
        <f t="shared" si="22"/>
        <v>0</v>
      </c>
      <c r="AK332" s="8">
        <f t="shared" si="23"/>
        <v>0</v>
      </c>
    </row>
    <row r="333" spans="1:37" x14ac:dyDescent="0.3">
      <c r="A333" s="1">
        <v>346</v>
      </c>
      <c r="B333" s="2" t="s">
        <v>2217</v>
      </c>
      <c r="C333" s="2" t="s">
        <v>371</v>
      </c>
      <c r="D333" s="2" t="s">
        <v>101</v>
      </c>
      <c r="E333" s="1">
        <v>1</v>
      </c>
      <c r="F333" s="2" t="s">
        <v>2218</v>
      </c>
      <c r="G333" s="2" t="s">
        <v>2219</v>
      </c>
      <c r="H333" s="2" t="s">
        <v>31</v>
      </c>
      <c r="I333" s="2" t="s">
        <v>409</v>
      </c>
      <c r="J333" s="2" t="s">
        <v>31</v>
      </c>
      <c r="K333" s="10" t="s">
        <v>31</v>
      </c>
      <c r="L333" s="2" t="s">
        <v>2220</v>
      </c>
      <c r="M333" s="2" t="s">
        <v>2221</v>
      </c>
      <c r="N333" s="2" t="s">
        <v>31</v>
      </c>
      <c r="O333" s="2" t="s">
        <v>31</v>
      </c>
      <c r="P333" s="2" t="s">
        <v>2222</v>
      </c>
      <c r="Q333" s="2" t="s">
        <v>59</v>
      </c>
      <c r="R333" s="2" t="s">
        <v>48</v>
      </c>
      <c r="S333" s="2" t="s">
        <v>31</v>
      </c>
      <c r="T333" s="2" t="s">
        <v>60</v>
      </c>
      <c r="U333" s="2">
        <v>18010</v>
      </c>
      <c r="V333" s="10">
        <v>1910</v>
      </c>
      <c r="W333" s="10">
        <v>8451.20003</v>
      </c>
      <c r="X333" s="11">
        <v>0</v>
      </c>
      <c r="Y333" s="11">
        <v>1</v>
      </c>
      <c r="Z333" s="2" t="s">
        <v>380</v>
      </c>
      <c r="AA333" s="2" t="s">
        <v>2223</v>
      </c>
      <c r="AB333" s="3">
        <v>42647</v>
      </c>
      <c r="AC333" s="2">
        <v>0</v>
      </c>
      <c r="AD333" s="2" t="s">
        <v>39</v>
      </c>
      <c r="AE333" s="2">
        <v>0</v>
      </c>
      <c r="AF333" s="4">
        <v>7115500</v>
      </c>
      <c r="AG333" s="8">
        <v>72862.720000000001</v>
      </c>
      <c r="AH333" s="8">
        <f t="shared" si="20"/>
        <v>78334.710271999997</v>
      </c>
      <c r="AI333" s="8">
        <f t="shared" si="21"/>
        <v>5471.9902719999955</v>
      </c>
      <c r="AJ333" s="8">
        <f t="shared" si="22"/>
        <v>76804.593152000001</v>
      </c>
      <c r="AK333" s="8">
        <f t="shared" si="23"/>
        <v>3941.8731520000001</v>
      </c>
    </row>
    <row r="334" spans="1:37" x14ac:dyDescent="0.3">
      <c r="A334" s="1">
        <v>347</v>
      </c>
      <c r="B334" s="2" t="s">
        <v>2224</v>
      </c>
      <c r="C334" s="2" t="s">
        <v>2225</v>
      </c>
      <c r="D334" s="2" t="s">
        <v>101</v>
      </c>
      <c r="E334" s="1" t="s">
        <v>31</v>
      </c>
      <c r="F334" s="2" t="s">
        <v>2226</v>
      </c>
      <c r="G334" s="2" t="s">
        <v>399</v>
      </c>
      <c r="H334" s="2" t="s">
        <v>31</v>
      </c>
      <c r="I334" s="2" t="s">
        <v>2227</v>
      </c>
      <c r="J334" s="2" t="s">
        <v>31</v>
      </c>
      <c r="K334" s="10" t="s">
        <v>31</v>
      </c>
      <c r="L334" s="2" t="s">
        <v>1109</v>
      </c>
      <c r="M334" s="2" t="s">
        <v>31</v>
      </c>
      <c r="N334" s="2" t="s">
        <v>2228</v>
      </c>
      <c r="O334" s="2" t="s">
        <v>31</v>
      </c>
      <c r="P334" s="2" t="s">
        <v>1111</v>
      </c>
      <c r="Q334" s="2" t="s">
        <v>59</v>
      </c>
      <c r="R334" s="2" t="s">
        <v>48</v>
      </c>
      <c r="S334" s="2" t="s">
        <v>31</v>
      </c>
      <c r="T334" s="2" t="s">
        <v>242</v>
      </c>
      <c r="U334" s="2">
        <v>68640</v>
      </c>
      <c r="V334" s="10" t="s">
        <v>31</v>
      </c>
      <c r="W334" s="10">
        <v>0</v>
      </c>
      <c r="X334" s="11" t="s">
        <v>31</v>
      </c>
      <c r="Y334" s="11" t="s">
        <v>31</v>
      </c>
      <c r="Z334" s="2" t="s">
        <v>380</v>
      </c>
      <c r="AA334" s="2" t="s">
        <v>31</v>
      </c>
      <c r="AB334" s="3" t="s">
        <v>31</v>
      </c>
      <c r="AC334" s="2" t="s">
        <v>31</v>
      </c>
      <c r="AD334" s="2" t="s">
        <v>39</v>
      </c>
      <c r="AE334" s="2" t="s">
        <v>31</v>
      </c>
      <c r="AF334" s="4">
        <v>7692900</v>
      </c>
      <c r="AG334" s="8">
        <v>0</v>
      </c>
      <c r="AH334" s="8">
        <f t="shared" si="20"/>
        <v>0</v>
      </c>
      <c r="AI334" s="8">
        <f t="shared" si="21"/>
        <v>0</v>
      </c>
      <c r="AJ334" s="8">
        <f t="shared" si="22"/>
        <v>0</v>
      </c>
      <c r="AK334" s="8">
        <f t="shared" si="23"/>
        <v>0</v>
      </c>
    </row>
    <row r="335" spans="1:37" x14ac:dyDescent="0.3">
      <c r="A335" s="1">
        <v>348</v>
      </c>
      <c r="B335" s="2" t="s">
        <v>2229</v>
      </c>
      <c r="C335" s="2" t="s">
        <v>371</v>
      </c>
      <c r="D335" s="2" t="s">
        <v>101</v>
      </c>
      <c r="E335" s="1">
        <v>1</v>
      </c>
      <c r="F335" s="2" t="s">
        <v>2230</v>
      </c>
      <c r="G335" s="2" t="s">
        <v>2231</v>
      </c>
      <c r="H335" s="2" t="s">
        <v>31</v>
      </c>
      <c r="I335" s="2" t="s">
        <v>409</v>
      </c>
      <c r="J335" s="2" t="s">
        <v>31</v>
      </c>
      <c r="K335" s="10" t="s">
        <v>31</v>
      </c>
      <c r="L335" s="2" t="s">
        <v>2232</v>
      </c>
      <c r="M335" s="2" t="s">
        <v>2233</v>
      </c>
      <c r="N335" s="2" t="s">
        <v>2234</v>
      </c>
      <c r="O335" s="2" t="s">
        <v>31</v>
      </c>
      <c r="P335" s="2" t="s">
        <v>2235</v>
      </c>
      <c r="Q335" s="2" t="s">
        <v>2236</v>
      </c>
      <c r="R335" s="2" t="s">
        <v>1723</v>
      </c>
      <c r="S335" s="2" t="s">
        <v>31</v>
      </c>
      <c r="T335" s="2" t="s">
        <v>2237</v>
      </c>
      <c r="U335" s="2">
        <v>19940</v>
      </c>
      <c r="V335" s="10">
        <v>1929</v>
      </c>
      <c r="W335" s="10">
        <v>5102.5</v>
      </c>
      <c r="X335" s="11">
        <v>0</v>
      </c>
      <c r="Y335" s="11">
        <v>1</v>
      </c>
      <c r="Z335" s="2" t="s">
        <v>380</v>
      </c>
      <c r="AA335" s="2" t="s">
        <v>2238</v>
      </c>
      <c r="AB335" s="3">
        <v>26597</v>
      </c>
      <c r="AC335" s="2">
        <v>136800</v>
      </c>
      <c r="AD335" s="2" t="s">
        <v>39</v>
      </c>
      <c r="AE335" s="2">
        <v>0</v>
      </c>
      <c r="AF335" s="4">
        <v>5536500</v>
      </c>
      <c r="AG335" s="8">
        <v>56693.760000000002</v>
      </c>
      <c r="AH335" s="8">
        <f t="shared" si="20"/>
        <v>60951.461375999999</v>
      </c>
      <c r="AI335" s="8">
        <f t="shared" si="21"/>
        <v>4257.7013759999973</v>
      </c>
      <c r="AJ335" s="8">
        <f t="shared" si="22"/>
        <v>59760.892416000002</v>
      </c>
      <c r="AK335" s="8">
        <f t="shared" si="23"/>
        <v>3067.1324160000004</v>
      </c>
    </row>
    <row r="336" spans="1:37" x14ac:dyDescent="0.3">
      <c r="A336" s="1">
        <v>349</v>
      </c>
      <c r="B336" s="2" t="s">
        <v>2239</v>
      </c>
      <c r="C336" s="2" t="s">
        <v>371</v>
      </c>
      <c r="D336" s="2" t="s">
        <v>101</v>
      </c>
      <c r="E336" s="1">
        <v>1</v>
      </c>
      <c r="F336" s="2" t="s">
        <v>2240</v>
      </c>
      <c r="G336" s="2" t="s">
        <v>2241</v>
      </c>
      <c r="H336" s="2" t="s">
        <v>31</v>
      </c>
      <c r="I336" s="2" t="s">
        <v>409</v>
      </c>
      <c r="J336" s="2" t="s">
        <v>31</v>
      </c>
      <c r="K336" s="10" t="s">
        <v>31</v>
      </c>
      <c r="L336" s="2" t="s">
        <v>2242</v>
      </c>
      <c r="M336" s="2" t="s">
        <v>2243</v>
      </c>
      <c r="N336" s="2" t="s">
        <v>31</v>
      </c>
      <c r="O336" s="2" t="s">
        <v>31</v>
      </c>
      <c r="P336" s="2" t="s">
        <v>2244</v>
      </c>
      <c r="Q336" s="2" t="s">
        <v>2245</v>
      </c>
      <c r="R336" s="2" t="s">
        <v>2246</v>
      </c>
      <c r="S336" s="2" t="s">
        <v>888</v>
      </c>
      <c r="T336" s="2" t="s">
        <v>2247</v>
      </c>
      <c r="U336" s="2">
        <v>19162</v>
      </c>
      <c r="V336" s="10">
        <v>1917</v>
      </c>
      <c r="W336" s="10">
        <v>2757.59998</v>
      </c>
      <c r="X336" s="11">
        <v>0</v>
      </c>
      <c r="Y336" s="11">
        <v>1</v>
      </c>
      <c r="Z336" s="2" t="s">
        <v>380</v>
      </c>
      <c r="AA336" s="2" t="s">
        <v>2248</v>
      </c>
      <c r="AB336" s="3">
        <v>44729</v>
      </c>
      <c r="AC336" s="2">
        <v>3500000</v>
      </c>
      <c r="AD336" s="2" t="s">
        <v>39</v>
      </c>
      <c r="AE336" s="2">
        <v>0</v>
      </c>
      <c r="AF336" s="4">
        <v>4200500</v>
      </c>
      <c r="AG336" s="8">
        <v>43013.120000000003</v>
      </c>
      <c r="AH336" s="8">
        <f t="shared" si="20"/>
        <v>46243.405312000003</v>
      </c>
      <c r="AI336" s="8">
        <f t="shared" si="21"/>
        <v>3230.285312</v>
      </c>
      <c r="AJ336" s="8">
        <f t="shared" si="22"/>
        <v>45340.129792000007</v>
      </c>
      <c r="AK336" s="8">
        <f t="shared" si="23"/>
        <v>2327.0097920000044</v>
      </c>
    </row>
    <row r="337" spans="1:37" x14ac:dyDescent="0.3">
      <c r="A337" s="1">
        <v>350</v>
      </c>
      <c r="B337" s="2" t="s">
        <v>2249</v>
      </c>
      <c r="C337" s="2" t="s">
        <v>371</v>
      </c>
      <c r="D337" s="2" t="s">
        <v>101</v>
      </c>
      <c r="E337" s="1">
        <v>1</v>
      </c>
      <c r="F337" s="2" t="s">
        <v>2250</v>
      </c>
      <c r="G337" s="2" t="s">
        <v>554</v>
      </c>
      <c r="H337" s="2" t="s">
        <v>31</v>
      </c>
      <c r="I337" s="2" t="s">
        <v>2251</v>
      </c>
      <c r="J337" s="2" t="s">
        <v>31</v>
      </c>
      <c r="K337" s="10" t="s">
        <v>31</v>
      </c>
      <c r="L337" s="2" t="s">
        <v>442</v>
      </c>
      <c r="M337" s="2" t="s">
        <v>31</v>
      </c>
      <c r="N337" s="2" t="s">
        <v>443</v>
      </c>
      <c r="O337" s="2" t="s">
        <v>31</v>
      </c>
      <c r="P337" s="2" t="s">
        <v>444</v>
      </c>
      <c r="Q337" s="2" t="s">
        <v>86</v>
      </c>
      <c r="R337" s="2" t="s">
        <v>48</v>
      </c>
      <c r="S337" s="2" t="s">
        <v>31</v>
      </c>
      <c r="T337" s="2" t="s">
        <v>445</v>
      </c>
      <c r="U337" s="2">
        <v>48070</v>
      </c>
      <c r="V337" s="10">
        <v>1850</v>
      </c>
      <c r="W337" s="10">
        <v>8403.6000299999996</v>
      </c>
      <c r="X337" s="11">
        <v>0</v>
      </c>
      <c r="Y337" s="11">
        <v>1</v>
      </c>
      <c r="Z337" s="2" t="s">
        <v>380</v>
      </c>
      <c r="AA337" s="2" t="s">
        <v>2252</v>
      </c>
      <c r="AB337" s="3">
        <v>26864</v>
      </c>
      <c r="AC337" s="2">
        <v>0</v>
      </c>
      <c r="AD337" s="2" t="s">
        <v>39</v>
      </c>
      <c r="AE337" s="2">
        <v>0</v>
      </c>
      <c r="AF337" s="4">
        <v>10131600</v>
      </c>
      <c r="AG337" s="8">
        <v>103747.58</v>
      </c>
      <c r="AH337" s="8">
        <f t="shared" si="20"/>
        <v>111539.023258</v>
      </c>
      <c r="AI337" s="8">
        <f t="shared" si="21"/>
        <v>7791.4432579999993</v>
      </c>
      <c r="AJ337" s="8">
        <f t="shared" si="22"/>
        <v>109360.32407800001</v>
      </c>
      <c r="AK337" s="8">
        <f t="shared" si="23"/>
        <v>5612.7440780000034</v>
      </c>
    </row>
    <row r="338" spans="1:37" x14ac:dyDescent="0.3">
      <c r="A338" s="1">
        <v>351</v>
      </c>
      <c r="B338" s="2" t="s">
        <v>2253</v>
      </c>
      <c r="C338" s="2" t="s">
        <v>371</v>
      </c>
      <c r="D338" s="2" t="s">
        <v>101</v>
      </c>
      <c r="E338" s="1">
        <v>1</v>
      </c>
      <c r="F338" s="2" t="s">
        <v>2254</v>
      </c>
      <c r="G338" s="2" t="s">
        <v>900</v>
      </c>
      <c r="H338" s="2" t="s">
        <v>31</v>
      </c>
      <c r="I338" s="2" t="s">
        <v>2251</v>
      </c>
      <c r="J338" s="2" t="s">
        <v>31</v>
      </c>
      <c r="K338" s="10" t="s">
        <v>31</v>
      </c>
      <c r="L338" s="2" t="s">
        <v>442</v>
      </c>
      <c r="M338" s="2" t="s">
        <v>31</v>
      </c>
      <c r="N338" s="2" t="s">
        <v>443</v>
      </c>
      <c r="O338" s="2" t="s">
        <v>31</v>
      </c>
      <c r="P338" s="2" t="s">
        <v>444</v>
      </c>
      <c r="Q338" s="2" t="s">
        <v>86</v>
      </c>
      <c r="R338" s="2" t="s">
        <v>48</v>
      </c>
      <c r="S338" s="2" t="s">
        <v>31</v>
      </c>
      <c r="T338" s="2" t="s">
        <v>445</v>
      </c>
      <c r="U338" s="2">
        <v>38903</v>
      </c>
      <c r="V338" s="10">
        <v>1934</v>
      </c>
      <c r="W338" s="10">
        <v>3580.0000100000002</v>
      </c>
      <c r="X338" s="11">
        <v>0</v>
      </c>
      <c r="Y338" s="11">
        <v>1</v>
      </c>
      <c r="Z338" s="2" t="s">
        <v>380</v>
      </c>
      <c r="AA338" s="2" t="s">
        <v>2255</v>
      </c>
      <c r="AB338" s="3">
        <v>22235</v>
      </c>
      <c r="AC338" s="2">
        <v>0</v>
      </c>
      <c r="AD338" s="2" t="s">
        <v>39</v>
      </c>
      <c r="AE338" s="2">
        <v>0</v>
      </c>
      <c r="AF338" s="4">
        <v>7319300</v>
      </c>
      <c r="AG338" s="8">
        <v>74949.63</v>
      </c>
      <c r="AH338" s="8">
        <f t="shared" si="20"/>
        <v>80578.347213000001</v>
      </c>
      <c r="AI338" s="8">
        <f t="shared" si="21"/>
        <v>5628.7172129999963</v>
      </c>
      <c r="AJ338" s="8">
        <f t="shared" si="22"/>
        <v>79004.404983000015</v>
      </c>
      <c r="AK338" s="8">
        <f t="shared" si="23"/>
        <v>4054.7749830000103</v>
      </c>
    </row>
    <row r="339" spans="1:37" x14ac:dyDescent="0.3">
      <c r="A339" s="1">
        <v>352</v>
      </c>
      <c r="B339" s="2" t="s">
        <v>2256</v>
      </c>
      <c r="C339" s="2" t="s">
        <v>371</v>
      </c>
      <c r="D339" s="2" t="s">
        <v>101</v>
      </c>
      <c r="E339" s="1">
        <v>1</v>
      </c>
      <c r="F339" s="2" t="s">
        <v>2257</v>
      </c>
      <c r="G339" s="2" t="s">
        <v>2169</v>
      </c>
      <c r="H339" s="2" t="s">
        <v>31</v>
      </c>
      <c r="I339" s="2" t="s">
        <v>2258</v>
      </c>
      <c r="J339" s="2" t="s">
        <v>31</v>
      </c>
      <c r="K339" s="10" t="s">
        <v>31</v>
      </c>
      <c r="L339" s="2" t="s">
        <v>442</v>
      </c>
      <c r="M339" s="2" t="s">
        <v>31</v>
      </c>
      <c r="N339" s="2" t="s">
        <v>2259</v>
      </c>
      <c r="O339" s="2" t="s">
        <v>31</v>
      </c>
      <c r="P339" s="2" t="s">
        <v>2260</v>
      </c>
      <c r="Q339" s="2" t="s">
        <v>86</v>
      </c>
      <c r="R339" s="2" t="s">
        <v>48</v>
      </c>
      <c r="S339" s="2" t="s">
        <v>31</v>
      </c>
      <c r="T339" s="2" t="s">
        <v>445</v>
      </c>
      <c r="U339" s="2">
        <v>80063</v>
      </c>
      <c r="V339" s="10">
        <v>2000</v>
      </c>
      <c r="W339" s="10">
        <v>6670.0000300000002</v>
      </c>
      <c r="X339" s="11">
        <v>0</v>
      </c>
      <c r="Y339" s="11">
        <v>1</v>
      </c>
      <c r="Z339" s="2" t="s">
        <v>380</v>
      </c>
      <c r="AA339" s="2" t="s">
        <v>2261</v>
      </c>
      <c r="AB339" s="3">
        <v>22403</v>
      </c>
      <c r="AC339" s="2">
        <v>0</v>
      </c>
      <c r="AD339" s="2" t="s">
        <v>39</v>
      </c>
      <c r="AE339" s="2">
        <v>0</v>
      </c>
      <c r="AF339" s="4">
        <v>12908000</v>
      </c>
      <c r="AG339" s="8">
        <v>132177.92000000001</v>
      </c>
      <c r="AH339" s="8">
        <f t="shared" si="20"/>
        <v>142104.48179200001</v>
      </c>
      <c r="AI339" s="8">
        <f t="shared" si="21"/>
        <v>9926.5617919999931</v>
      </c>
      <c r="AJ339" s="8">
        <f t="shared" si="22"/>
        <v>139328.74547200001</v>
      </c>
      <c r="AK339" s="8">
        <f t="shared" si="23"/>
        <v>7150.8254719999968</v>
      </c>
    </row>
    <row r="340" spans="1:37" x14ac:dyDescent="0.3">
      <c r="A340" s="1">
        <v>353</v>
      </c>
      <c r="B340" s="2" t="s">
        <v>2262</v>
      </c>
      <c r="C340" s="2" t="s">
        <v>1106</v>
      </c>
      <c r="D340" s="2" t="s">
        <v>101</v>
      </c>
      <c r="E340" s="1" t="s">
        <v>31</v>
      </c>
      <c r="F340" s="2" t="s">
        <v>2263</v>
      </c>
      <c r="G340" s="2" t="s">
        <v>725</v>
      </c>
      <c r="H340" s="2" t="s">
        <v>31</v>
      </c>
      <c r="I340" s="2" t="s">
        <v>2264</v>
      </c>
      <c r="J340" s="2" t="s">
        <v>31</v>
      </c>
      <c r="K340" s="10" t="s">
        <v>31</v>
      </c>
      <c r="L340" s="2" t="s">
        <v>1109</v>
      </c>
      <c r="M340" s="2" t="s">
        <v>31</v>
      </c>
      <c r="N340" s="2" t="s">
        <v>2265</v>
      </c>
      <c r="O340" s="2" t="s">
        <v>31</v>
      </c>
      <c r="P340" s="2" t="s">
        <v>1111</v>
      </c>
      <c r="Q340" s="2" t="s">
        <v>59</v>
      </c>
      <c r="R340" s="2" t="s">
        <v>48</v>
      </c>
      <c r="S340" s="2" t="s">
        <v>31</v>
      </c>
      <c r="T340" s="2" t="s">
        <v>242</v>
      </c>
      <c r="U340" s="2">
        <v>48000</v>
      </c>
      <c r="V340" s="10" t="s">
        <v>31</v>
      </c>
      <c r="W340" s="10">
        <v>0</v>
      </c>
      <c r="X340" s="11" t="s">
        <v>31</v>
      </c>
      <c r="Y340" s="11" t="s">
        <v>31</v>
      </c>
      <c r="Z340" s="2" t="s">
        <v>380</v>
      </c>
      <c r="AA340" s="2" t="s">
        <v>2266</v>
      </c>
      <c r="AB340" s="3">
        <v>941</v>
      </c>
      <c r="AC340" s="2">
        <v>0</v>
      </c>
      <c r="AD340" s="2" t="s">
        <v>39</v>
      </c>
      <c r="AE340" s="2" t="s">
        <v>31</v>
      </c>
      <c r="AF340" s="4">
        <v>5157100</v>
      </c>
      <c r="AG340" s="8">
        <v>0</v>
      </c>
      <c r="AH340" s="8">
        <f t="shared" si="20"/>
        <v>0</v>
      </c>
      <c r="AI340" s="8">
        <f t="shared" si="21"/>
        <v>0</v>
      </c>
      <c r="AJ340" s="8">
        <f t="shared" si="22"/>
        <v>0</v>
      </c>
      <c r="AK340" s="8">
        <f t="shared" si="23"/>
        <v>0</v>
      </c>
    </row>
    <row r="341" spans="1:37" x14ac:dyDescent="0.3">
      <c r="A341" s="1">
        <v>354</v>
      </c>
      <c r="B341" s="2" t="s">
        <v>2267</v>
      </c>
      <c r="C341" s="2" t="s">
        <v>371</v>
      </c>
      <c r="D341" s="2" t="s">
        <v>101</v>
      </c>
      <c r="E341" s="1">
        <v>1</v>
      </c>
      <c r="F341" s="2" t="s">
        <v>2268</v>
      </c>
      <c r="G341" s="2" t="s">
        <v>539</v>
      </c>
      <c r="H341" s="2" t="s">
        <v>31</v>
      </c>
      <c r="I341" s="2" t="s">
        <v>2258</v>
      </c>
      <c r="J341" s="2" t="s">
        <v>31</v>
      </c>
      <c r="K341" s="10" t="s">
        <v>31</v>
      </c>
      <c r="L341" s="2" t="s">
        <v>2269</v>
      </c>
      <c r="M341" s="2" t="s">
        <v>2270</v>
      </c>
      <c r="N341" s="2" t="s">
        <v>31</v>
      </c>
      <c r="O341" s="2" t="s">
        <v>31</v>
      </c>
      <c r="P341" s="2" t="s">
        <v>2271</v>
      </c>
      <c r="Q341" s="2" t="s">
        <v>59</v>
      </c>
      <c r="R341" s="2" t="s">
        <v>48</v>
      </c>
      <c r="S341" s="2" t="s">
        <v>31</v>
      </c>
      <c r="T341" s="2" t="s">
        <v>60</v>
      </c>
      <c r="U341" s="2">
        <v>10875</v>
      </c>
      <c r="V341" s="10">
        <v>1913</v>
      </c>
      <c r="W341" s="10">
        <v>7971.3000300000003</v>
      </c>
      <c r="X341" s="11">
        <v>0</v>
      </c>
      <c r="Y341" s="11">
        <v>1</v>
      </c>
      <c r="Z341" s="2" t="s">
        <v>380</v>
      </c>
      <c r="AA341" s="2" t="s">
        <v>2272</v>
      </c>
      <c r="AB341" s="3">
        <v>42688</v>
      </c>
      <c r="AC341" s="2">
        <v>1</v>
      </c>
      <c r="AD341" s="2" t="s">
        <v>107</v>
      </c>
      <c r="AE341" s="2">
        <v>0</v>
      </c>
      <c r="AF341" s="4">
        <v>7793500</v>
      </c>
      <c r="AG341" s="8">
        <v>76170.509999999995</v>
      </c>
      <c r="AH341" s="8">
        <f t="shared" si="20"/>
        <v>81890.915300999986</v>
      </c>
      <c r="AI341" s="8">
        <f t="shared" si="21"/>
        <v>5720.4053009999916</v>
      </c>
      <c r="AJ341" s="8">
        <f t="shared" si="22"/>
        <v>80291.334590999992</v>
      </c>
      <c r="AK341" s="8">
        <f t="shared" si="23"/>
        <v>4120.8245909999969</v>
      </c>
    </row>
    <row r="342" spans="1:37" x14ac:dyDescent="0.3">
      <c r="A342" s="1">
        <v>355</v>
      </c>
      <c r="B342" s="2" t="s">
        <v>2273</v>
      </c>
      <c r="C342" s="2" t="s">
        <v>371</v>
      </c>
      <c r="D342" s="2" t="s">
        <v>101</v>
      </c>
      <c r="E342" s="1">
        <v>1</v>
      </c>
      <c r="F342" s="2" t="s">
        <v>2274</v>
      </c>
      <c r="G342" s="2" t="s">
        <v>507</v>
      </c>
      <c r="H342" s="2" t="s">
        <v>31</v>
      </c>
      <c r="I342" s="2" t="s">
        <v>2258</v>
      </c>
      <c r="J342" s="2" t="s">
        <v>31</v>
      </c>
      <c r="K342" s="10" t="s">
        <v>31</v>
      </c>
      <c r="L342" s="2" t="s">
        <v>2112</v>
      </c>
      <c r="M342" s="2" t="s">
        <v>2113</v>
      </c>
      <c r="N342" s="2" t="s">
        <v>31</v>
      </c>
      <c r="O342" s="2" t="s">
        <v>31</v>
      </c>
      <c r="P342" s="2" t="s">
        <v>2114</v>
      </c>
      <c r="Q342" s="2" t="s">
        <v>86</v>
      </c>
      <c r="R342" s="2" t="s">
        <v>48</v>
      </c>
      <c r="S342" s="2" t="s">
        <v>31</v>
      </c>
      <c r="T342" s="2" t="s">
        <v>2115</v>
      </c>
      <c r="U342" s="2">
        <v>10875</v>
      </c>
      <c r="V342" s="10">
        <v>1913</v>
      </c>
      <c r="W342" s="10">
        <v>5600.8000199999997</v>
      </c>
      <c r="X342" s="11">
        <v>0</v>
      </c>
      <c r="Y342" s="11">
        <v>1</v>
      </c>
      <c r="Z342" s="2" t="s">
        <v>380</v>
      </c>
      <c r="AA342" s="2" t="s">
        <v>2275</v>
      </c>
      <c r="AB342" s="3">
        <v>44152</v>
      </c>
      <c r="AC342" s="2">
        <v>4000000</v>
      </c>
      <c r="AD342" s="2" t="s">
        <v>39</v>
      </c>
      <c r="AE342" s="2">
        <v>0</v>
      </c>
      <c r="AF342" s="4">
        <v>5297800</v>
      </c>
      <c r="AG342" s="8">
        <v>54249.47</v>
      </c>
      <c r="AH342" s="8">
        <f t="shared" si="20"/>
        <v>58323.605196999997</v>
      </c>
      <c r="AI342" s="8">
        <f t="shared" si="21"/>
        <v>4074.135196999996</v>
      </c>
      <c r="AJ342" s="8">
        <f t="shared" si="22"/>
        <v>57184.366327000003</v>
      </c>
      <c r="AK342" s="8">
        <f t="shared" si="23"/>
        <v>2934.8963270000022</v>
      </c>
    </row>
    <row r="343" spans="1:37" x14ac:dyDescent="0.3">
      <c r="A343" s="1">
        <v>356</v>
      </c>
      <c r="B343" s="2" t="s">
        <v>2276</v>
      </c>
      <c r="C343" s="2" t="s">
        <v>371</v>
      </c>
      <c r="D343" s="2" t="s">
        <v>101</v>
      </c>
      <c r="E343" s="1">
        <v>1</v>
      </c>
      <c r="F343" s="2" t="s">
        <v>2277</v>
      </c>
      <c r="G343" s="2" t="s">
        <v>332</v>
      </c>
      <c r="H343" s="2" t="s">
        <v>31</v>
      </c>
      <c r="I343" s="2" t="s">
        <v>2258</v>
      </c>
      <c r="J343" s="2" t="s">
        <v>31</v>
      </c>
      <c r="K343" s="10" t="s">
        <v>31</v>
      </c>
      <c r="L343" s="2" t="s">
        <v>2278</v>
      </c>
      <c r="M343" s="2" t="s">
        <v>2279</v>
      </c>
      <c r="N343" s="2" t="s">
        <v>31</v>
      </c>
      <c r="O343" s="2" t="s">
        <v>31</v>
      </c>
      <c r="P343" s="2" t="s">
        <v>2280</v>
      </c>
      <c r="Q343" s="2" t="s">
        <v>59</v>
      </c>
      <c r="R343" s="2" t="s">
        <v>48</v>
      </c>
      <c r="S343" s="2" t="s">
        <v>31</v>
      </c>
      <c r="T343" s="2" t="s">
        <v>60</v>
      </c>
      <c r="U343" s="2">
        <v>10875</v>
      </c>
      <c r="V343" s="10">
        <v>1921</v>
      </c>
      <c r="W343" s="10">
        <v>5651.8000199999997</v>
      </c>
      <c r="X343" s="11">
        <v>0</v>
      </c>
      <c r="Y343" s="11">
        <v>1</v>
      </c>
      <c r="Z343" s="2" t="s">
        <v>380</v>
      </c>
      <c r="AA343" s="2" t="s">
        <v>2281</v>
      </c>
      <c r="AB343" s="3">
        <v>39350</v>
      </c>
      <c r="AC343" s="2">
        <v>2820000</v>
      </c>
      <c r="AD343" s="2" t="s">
        <v>107</v>
      </c>
      <c r="AE343" s="2">
        <v>0</v>
      </c>
      <c r="AF343" s="4">
        <v>5288500</v>
      </c>
      <c r="AG343" s="8">
        <v>50519.31</v>
      </c>
      <c r="AH343" s="8">
        <f t="shared" si="20"/>
        <v>54313.310180999993</v>
      </c>
      <c r="AI343" s="8">
        <f t="shared" si="21"/>
        <v>3794.0001809999958</v>
      </c>
      <c r="AJ343" s="8">
        <f t="shared" si="22"/>
        <v>53252.404670999997</v>
      </c>
      <c r="AK343" s="8">
        <f t="shared" si="23"/>
        <v>2733.0946709999989</v>
      </c>
    </row>
    <row r="344" spans="1:37" x14ac:dyDescent="0.3">
      <c r="A344" s="1">
        <v>357</v>
      </c>
      <c r="B344" s="2" t="s">
        <v>2282</v>
      </c>
      <c r="C344" s="2" t="s">
        <v>371</v>
      </c>
      <c r="D344" s="2" t="s">
        <v>101</v>
      </c>
      <c r="E344" s="1">
        <v>1</v>
      </c>
      <c r="F344" s="2" t="s">
        <v>2283</v>
      </c>
      <c r="G344" s="2" t="s">
        <v>299</v>
      </c>
      <c r="H344" s="2" t="s">
        <v>31</v>
      </c>
      <c r="I344" s="2" t="s">
        <v>2264</v>
      </c>
      <c r="J344" s="2" t="s">
        <v>31</v>
      </c>
      <c r="K344" s="10" t="s">
        <v>31</v>
      </c>
      <c r="L344" s="2" t="s">
        <v>2284</v>
      </c>
      <c r="M344" s="2" t="s">
        <v>2285</v>
      </c>
      <c r="N344" s="2" t="s">
        <v>31</v>
      </c>
      <c r="O344" s="2" t="s">
        <v>31</v>
      </c>
      <c r="P344" s="2" t="s">
        <v>2286</v>
      </c>
      <c r="Q344" s="2" t="s">
        <v>59</v>
      </c>
      <c r="R344" s="2" t="s">
        <v>48</v>
      </c>
      <c r="S344" s="2" t="s">
        <v>31</v>
      </c>
      <c r="T344" s="2" t="s">
        <v>60</v>
      </c>
      <c r="U344" s="2">
        <v>10885</v>
      </c>
      <c r="V344" s="10">
        <v>1911</v>
      </c>
      <c r="W344" s="10">
        <v>8001</v>
      </c>
      <c r="X344" s="11">
        <v>0</v>
      </c>
      <c r="Y344" s="11">
        <v>1</v>
      </c>
      <c r="Z344" s="2" t="s">
        <v>380</v>
      </c>
      <c r="AA344" s="2" t="s">
        <v>2287</v>
      </c>
      <c r="AB344" s="3">
        <v>44503</v>
      </c>
      <c r="AC344" s="2">
        <v>100</v>
      </c>
      <c r="AD344" s="2" t="s">
        <v>107</v>
      </c>
      <c r="AE344" s="2">
        <v>0</v>
      </c>
      <c r="AF344" s="4">
        <v>6973800</v>
      </c>
      <c r="AG344" s="8">
        <v>67776.78</v>
      </c>
      <c r="AH344" s="8">
        <f t="shared" si="20"/>
        <v>72866.816177999994</v>
      </c>
      <c r="AI344" s="8">
        <f t="shared" si="21"/>
        <v>5090.0361779999948</v>
      </c>
      <c r="AJ344" s="8">
        <f t="shared" si="22"/>
        <v>71443.503798000005</v>
      </c>
      <c r="AK344" s="8">
        <f t="shared" si="23"/>
        <v>3666.7237980000064</v>
      </c>
    </row>
    <row r="345" spans="1:37" x14ac:dyDescent="0.3">
      <c r="A345" s="1">
        <v>358</v>
      </c>
      <c r="B345" s="2" t="s">
        <v>2288</v>
      </c>
      <c r="C345" s="2" t="s">
        <v>371</v>
      </c>
      <c r="D345" s="2" t="s">
        <v>101</v>
      </c>
      <c r="E345" s="1">
        <v>1</v>
      </c>
      <c r="F345" s="2" t="s">
        <v>2289</v>
      </c>
      <c r="G345" s="2" t="s">
        <v>498</v>
      </c>
      <c r="H345" s="2" t="s">
        <v>31</v>
      </c>
      <c r="I345" s="2" t="s">
        <v>2264</v>
      </c>
      <c r="J345" s="2" t="s">
        <v>31</v>
      </c>
      <c r="K345" s="10" t="s">
        <v>31</v>
      </c>
      <c r="L345" s="2" t="s">
        <v>2290</v>
      </c>
      <c r="M345" s="2" t="s">
        <v>2291</v>
      </c>
      <c r="N345" s="2" t="s">
        <v>2292</v>
      </c>
      <c r="O345" s="2" t="s">
        <v>2293</v>
      </c>
      <c r="P345" s="2" t="s">
        <v>2294</v>
      </c>
      <c r="Q345" s="2" t="s">
        <v>59</v>
      </c>
      <c r="R345" s="2" t="s">
        <v>48</v>
      </c>
      <c r="S345" s="2" t="s">
        <v>31</v>
      </c>
      <c r="T345" s="2" t="s">
        <v>60</v>
      </c>
      <c r="U345" s="2">
        <v>10885</v>
      </c>
      <c r="V345" s="10">
        <v>1900</v>
      </c>
      <c r="W345" s="10">
        <v>5827</v>
      </c>
      <c r="X345" s="11">
        <v>0</v>
      </c>
      <c r="Y345" s="11">
        <v>1</v>
      </c>
      <c r="Z345" s="2" t="s">
        <v>380</v>
      </c>
      <c r="AA345" s="2" t="s">
        <v>2295</v>
      </c>
      <c r="AB345" s="3">
        <v>30837</v>
      </c>
      <c r="AC345" s="2">
        <v>375000</v>
      </c>
      <c r="AD345" s="2" t="s">
        <v>107</v>
      </c>
      <c r="AE345" s="2">
        <v>0</v>
      </c>
      <c r="AF345" s="4">
        <v>5194200</v>
      </c>
      <c r="AG345" s="8">
        <v>49553.67</v>
      </c>
      <c r="AH345" s="8">
        <f t="shared" si="20"/>
        <v>53275.150616999992</v>
      </c>
      <c r="AI345" s="8">
        <f t="shared" si="21"/>
        <v>3721.4806169999938</v>
      </c>
      <c r="AJ345" s="8">
        <f t="shared" si="22"/>
        <v>52234.523546999997</v>
      </c>
      <c r="AK345" s="8">
        <f t="shared" si="23"/>
        <v>2680.8535469999988</v>
      </c>
    </row>
    <row r="346" spans="1:37" x14ac:dyDescent="0.3">
      <c r="A346" s="1">
        <v>359</v>
      </c>
      <c r="B346" s="2" t="s">
        <v>2296</v>
      </c>
      <c r="C346" s="2" t="s">
        <v>371</v>
      </c>
      <c r="D346" s="2" t="s">
        <v>101</v>
      </c>
      <c r="E346" s="1">
        <v>1</v>
      </c>
      <c r="F346" s="2" t="s">
        <v>2297</v>
      </c>
      <c r="G346" s="2" t="s">
        <v>532</v>
      </c>
      <c r="H346" s="2" t="s">
        <v>31</v>
      </c>
      <c r="I346" s="2" t="s">
        <v>2264</v>
      </c>
      <c r="J346" s="2" t="s">
        <v>31</v>
      </c>
      <c r="K346" s="10" t="s">
        <v>31</v>
      </c>
      <c r="L346" s="2" t="s">
        <v>2298</v>
      </c>
      <c r="M346" s="2" t="s">
        <v>2299</v>
      </c>
      <c r="N346" s="2" t="s">
        <v>31</v>
      </c>
      <c r="O346" s="2" t="s">
        <v>31</v>
      </c>
      <c r="P346" s="2" t="s">
        <v>2300</v>
      </c>
      <c r="Q346" s="2" t="s">
        <v>59</v>
      </c>
      <c r="R346" s="2" t="s">
        <v>48</v>
      </c>
      <c r="S346" s="2" t="s">
        <v>31</v>
      </c>
      <c r="T346" s="2" t="s">
        <v>60</v>
      </c>
      <c r="U346" s="2">
        <v>10885</v>
      </c>
      <c r="V346" s="10">
        <v>1910</v>
      </c>
      <c r="W346" s="10">
        <v>6420.9000299999998</v>
      </c>
      <c r="X346" s="11">
        <v>0</v>
      </c>
      <c r="Y346" s="11">
        <v>1</v>
      </c>
      <c r="Z346" s="2" t="s">
        <v>380</v>
      </c>
      <c r="AA346" s="2" t="s">
        <v>2301</v>
      </c>
      <c r="AB346" s="3">
        <v>43388</v>
      </c>
      <c r="AC346" s="2">
        <v>4000000</v>
      </c>
      <c r="AD346" s="2" t="s">
        <v>39</v>
      </c>
      <c r="AE346" s="2">
        <v>0</v>
      </c>
      <c r="AF346" s="4">
        <v>6816700</v>
      </c>
      <c r="AG346" s="8">
        <v>69803.009999999995</v>
      </c>
      <c r="AH346" s="8">
        <f t="shared" si="20"/>
        <v>75045.216050999996</v>
      </c>
      <c r="AI346" s="8">
        <f t="shared" si="21"/>
        <v>5242.206051000001</v>
      </c>
      <c r="AJ346" s="8">
        <f t="shared" si="22"/>
        <v>73579.352841</v>
      </c>
      <c r="AK346" s="8">
        <f t="shared" si="23"/>
        <v>3776.3428410000051</v>
      </c>
    </row>
    <row r="347" spans="1:37" x14ac:dyDescent="0.3">
      <c r="A347" s="1">
        <v>360</v>
      </c>
      <c r="B347" s="2" t="s">
        <v>2302</v>
      </c>
      <c r="C347" s="2" t="s">
        <v>371</v>
      </c>
      <c r="D347" s="2" t="s">
        <v>101</v>
      </c>
      <c r="E347" s="1">
        <v>1</v>
      </c>
      <c r="F347" s="2" t="s">
        <v>2303</v>
      </c>
      <c r="G347" s="2" t="s">
        <v>599</v>
      </c>
      <c r="H347" s="2" t="s">
        <v>31</v>
      </c>
      <c r="I347" s="2" t="s">
        <v>2251</v>
      </c>
      <c r="J347" s="2" t="s">
        <v>31</v>
      </c>
      <c r="K347" s="10" t="s">
        <v>31</v>
      </c>
      <c r="L347" s="2" t="s">
        <v>2304</v>
      </c>
      <c r="M347" s="2" t="s">
        <v>2305</v>
      </c>
      <c r="N347" s="2" t="s">
        <v>31</v>
      </c>
      <c r="O347" s="2" t="s">
        <v>31</v>
      </c>
      <c r="P347" s="2" t="s">
        <v>2306</v>
      </c>
      <c r="Q347" s="2" t="s">
        <v>59</v>
      </c>
      <c r="R347" s="2" t="s">
        <v>48</v>
      </c>
      <c r="S347" s="2" t="s">
        <v>31</v>
      </c>
      <c r="T347" s="2" t="s">
        <v>60</v>
      </c>
      <c r="U347" s="2">
        <v>10875</v>
      </c>
      <c r="V347" s="10">
        <v>1910</v>
      </c>
      <c r="W347" s="10">
        <v>5165.5000200000004</v>
      </c>
      <c r="X347" s="11">
        <v>0</v>
      </c>
      <c r="Y347" s="11">
        <v>1</v>
      </c>
      <c r="Z347" s="2" t="s">
        <v>380</v>
      </c>
      <c r="AA347" s="2" t="s">
        <v>2307</v>
      </c>
      <c r="AB347" s="3">
        <v>41548</v>
      </c>
      <c r="AC347" s="2">
        <v>1</v>
      </c>
      <c r="AD347" s="2" t="s">
        <v>107</v>
      </c>
      <c r="AE347" s="2">
        <v>0</v>
      </c>
      <c r="AF347" s="4">
        <v>4406700</v>
      </c>
      <c r="AG347" s="8">
        <v>41489.67</v>
      </c>
      <c r="AH347" s="8">
        <f t="shared" si="20"/>
        <v>44605.544216999995</v>
      </c>
      <c r="AI347" s="8">
        <f t="shared" si="21"/>
        <v>3115.8742169999969</v>
      </c>
      <c r="AJ347" s="8">
        <f t="shared" si="22"/>
        <v>43734.261146999997</v>
      </c>
      <c r="AK347" s="8">
        <f t="shared" si="23"/>
        <v>2244.5911469999992</v>
      </c>
    </row>
    <row r="348" spans="1:37" x14ac:dyDescent="0.3">
      <c r="A348" s="1">
        <v>361</v>
      </c>
      <c r="B348" s="2" t="s">
        <v>2308</v>
      </c>
      <c r="C348" s="2" t="s">
        <v>2309</v>
      </c>
      <c r="D348" s="2" t="s">
        <v>101</v>
      </c>
      <c r="E348" s="1">
        <v>2</v>
      </c>
      <c r="F348" s="2" t="s">
        <v>2310</v>
      </c>
      <c r="G348" s="2" t="s">
        <v>2311</v>
      </c>
      <c r="H348" s="2" t="s">
        <v>31</v>
      </c>
      <c r="I348" s="2" t="s">
        <v>2251</v>
      </c>
      <c r="J348" s="2" t="s">
        <v>31</v>
      </c>
      <c r="K348" s="10" t="s">
        <v>31</v>
      </c>
      <c r="L348" s="2" t="s">
        <v>2312</v>
      </c>
      <c r="M348" s="2" t="s">
        <v>2313</v>
      </c>
      <c r="N348" s="2" t="s">
        <v>31</v>
      </c>
      <c r="O348" s="2" t="s">
        <v>31</v>
      </c>
      <c r="P348" s="2" t="s">
        <v>2314</v>
      </c>
      <c r="Q348" s="2" t="s">
        <v>59</v>
      </c>
      <c r="R348" s="2" t="s">
        <v>48</v>
      </c>
      <c r="S348" s="2" t="s">
        <v>31</v>
      </c>
      <c r="T348" s="2" t="s">
        <v>60</v>
      </c>
      <c r="U348" s="2">
        <v>5184</v>
      </c>
      <c r="V348" s="10">
        <v>1920</v>
      </c>
      <c r="W348" s="10">
        <v>3590.40002</v>
      </c>
      <c r="X348" s="11">
        <v>0</v>
      </c>
      <c r="Y348" s="11">
        <v>2</v>
      </c>
      <c r="Z348" s="2" t="s">
        <v>380</v>
      </c>
      <c r="AA348" s="2" t="s">
        <v>2315</v>
      </c>
      <c r="AB348" s="3">
        <v>39766</v>
      </c>
      <c r="AC348" s="2">
        <v>10</v>
      </c>
      <c r="AD348" s="2" t="s">
        <v>107</v>
      </c>
      <c r="AE348" s="2">
        <v>0</v>
      </c>
      <c r="AF348" s="4">
        <v>2533000</v>
      </c>
      <c r="AG348" s="8">
        <v>22302.99</v>
      </c>
      <c r="AH348" s="8">
        <f t="shared" si="20"/>
        <v>23977.944549</v>
      </c>
      <c r="AI348" s="8">
        <f t="shared" si="21"/>
        <v>1674.9545489999982</v>
      </c>
      <c r="AJ348" s="8">
        <f t="shared" si="22"/>
        <v>23509.581759000004</v>
      </c>
      <c r="AK348" s="8">
        <f t="shared" si="23"/>
        <v>1206.5917590000026</v>
      </c>
    </row>
    <row r="349" spans="1:37" x14ac:dyDescent="0.3">
      <c r="A349" s="1">
        <v>362</v>
      </c>
      <c r="B349" s="2" t="s">
        <v>2316</v>
      </c>
      <c r="C349" s="2" t="s">
        <v>2309</v>
      </c>
      <c r="D349" s="2" t="s">
        <v>101</v>
      </c>
      <c r="E349" s="1">
        <v>2</v>
      </c>
      <c r="F349" s="2" t="s">
        <v>2317</v>
      </c>
      <c r="G349" s="2" t="s">
        <v>2318</v>
      </c>
      <c r="H349" s="2" t="s">
        <v>31</v>
      </c>
      <c r="I349" s="2" t="s">
        <v>2251</v>
      </c>
      <c r="J349" s="2" t="s">
        <v>31</v>
      </c>
      <c r="K349" s="10" t="s">
        <v>31</v>
      </c>
      <c r="L349" s="2" t="s">
        <v>2319</v>
      </c>
      <c r="M349" s="2" t="s">
        <v>31</v>
      </c>
      <c r="N349" s="2" t="s">
        <v>31</v>
      </c>
      <c r="O349" s="2" t="s">
        <v>31</v>
      </c>
      <c r="P349" s="2" t="s">
        <v>2320</v>
      </c>
      <c r="Q349" s="2" t="s">
        <v>333</v>
      </c>
      <c r="R349" s="2" t="s">
        <v>48</v>
      </c>
      <c r="S349" s="2" t="s">
        <v>31</v>
      </c>
      <c r="T349" s="2" t="s">
        <v>2321</v>
      </c>
      <c r="U349" s="2">
        <v>5256</v>
      </c>
      <c r="V349" s="10">
        <v>1940</v>
      </c>
      <c r="W349" s="10">
        <v>3042</v>
      </c>
      <c r="X349" s="11">
        <v>0</v>
      </c>
      <c r="Y349" s="11">
        <v>2</v>
      </c>
      <c r="Z349" s="2" t="s">
        <v>380</v>
      </c>
      <c r="AA349" s="2" t="s">
        <v>2322</v>
      </c>
      <c r="AB349" s="3">
        <v>43102</v>
      </c>
      <c r="AC349" s="2">
        <v>1</v>
      </c>
      <c r="AD349" s="2" t="s">
        <v>39</v>
      </c>
      <c r="AE349" s="2">
        <v>0</v>
      </c>
      <c r="AF349" s="4">
        <v>2464900</v>
      </c>
      <c r="AG349" s="8">
        <v>25240.58</v>
      </c>
      <c r="AH349" s="8">
        <f t="shared" si="20"/>
        <v>27136.147558000001</v>
      </c>
      <c r="AI349" s="8">
        <f t="shared" si="21"/>
        <v>1895.5675579999988</v>
      </c>
      <c r="AJ349" s="8">
        <f t="shared" si="22"/>
        <v>26606.095378000002</v>
      </c>
      <c r="AK349" s="8">
        <f t="shared" si="23"/>
        <v>1365.5153780000001</v>
      </c>
    </row>
    <row r="350" spans="1:37" x14ac:dyDescent="0.3">
      <c r="A350" s="1">
        <v>363</v>
      </c>
      <c r="B350" s="2" t="s">
        <v>2323</v>
      </c>
      <c r="C350" s="2" t="s">
        <v>2208</v>
      </c>
      <c r="D350" s="2" t="s">
        <v>101</v>
      </c>
      <c r="E350" s="1">
        <v>2</v>
      </c>
      <c r="F350" s="2" t="s">
        <v>2324</v>
      </c>
      <c r="G350" s="2" t="s">
        <v>523</v>
      </c>
      <c r="H350" s="2" t="s">
        <v>31</v>
      </c>
      <c r="I350" s="2" t="s">
        <v>2325</v>
      </c>
      <c r="J350" s="2" t="s">
        <v>31</v>
      </c>
      <c r="K350" s="10" t="s">
        <v>31</v>
      </c>
      <c r="L350" s="2" t="s">
        <v>2326</v>
      </c>
      <c r="M350" s="2" t="s">
        <v>31</v>
      </c>
      <c r="N350" s="2" t="s">
        <v>31</v>
      </c>
      <c r="O350" s="2" t="s">
        <v>31</v>
      </c>
      <c r="P350" s="2" t="s">
        <v>2212</v>
      </c>
      <c r="Q350" s="2" t="s">
        <v>59</v>
      </c>
      <c r="R350" s="2" t="s">
        <v>48</v>
      </c>
      <c r="S350" s="2" t="s">
        <v>31</v>
      </c>
      <c r="T350" s="2" t="s">
        <v>60</v>
      </c>
      <c r="U350" s="2">
        <v>5655</v>
      </c>
      <c r="V350" s="10">
        <v>1940</v>
      </c>
      <c r="W350" s="10">
        <v>3640.40002</v>
      </c>
      <c r="X350" s="11">
        <v>0</v>
      </c>
      <c r="Y350" s="11">
        <v>2</v>
      </c>
      <c r="Z350" s="2" t="s">
        <v>380</v>
      </c>
      <c r="AA350" s="2" t="s">
        <v>2327</v>
      </c>
      <c r="AB350" s="3">
        <v>44778</v>
      </c>
      <c r="AC350" s="2">
        <v>2406098</v>
      </c>
      <c r="AD350" s="2" t="s">
        <v>39</v>
      </c>
      <c r="AE350" s="2">
        <v>0</v>
      </c>
      <c r="AF350" s="4">
        <v>2369000</v>
      </c>
      <c r="AG350" s="8">
        <v>0</v>
      </c>
      <c r="AH350" s="8">
        <f t="shared" si="20"/>
        <v>0</v>
      </c>
      <c r="AI350" s="8">
        <f t="shared" si="21"/>
        <v>0</v>
      </c>
      <c r="AJ350" s="8">
        <f t="shared" si="22"/>
        <v>0</v>
      </c>
      <c r="AK350" s="8">
        <f t="shared" si="23"/>
        <v>0</v>
      </c>
    </row>
    <row r="351" spans="1:37" x14ac:dyDescent="0.3">
      <c r="A351" s="1">
        <v>364</v>
      </c>
      <c r="B351" s="2" t="s">
        <v>2328</v>
      </c>
      <c r="C351" s="2" t="s">
        <v>2309</v>
      </c>
      <c r="D351" s="2" t="s">
        <v>101</v>
      </c>
      <c r="E351" s="1">
        <v>2</v>
      </c>
      <c r="F351" s="2" t="s">
        <v>2329</v>
      </c>
      <c r="G351" s="2" t="s">
        <v>900</v>
      </c>
      <c r="H351" s="2" t="s">
        <v>31</v>
      </c>
      <c r="I351" s="2" t="s">
        <v>2325</v>
      </c>
      <c r="J351" s="2" t="s">
        <v>31</v>
      </c>
      <c r="K351" s="10" t="s">
        <v>31</v>
      </c>
      <c r="L351" s="2" t="s">
        <v>2330</v>
      </c>
      <c r="M351" s="2" t="s">
        <v>31</v>
      </c>
      <c r="N351" s="2" t="s">
        <v>31</v>
      </c>
      <c r="O351" s="2" t="s">
        <v>31</v>
      </c>
      <c r="P351" s="2" t="s">
        <v>2331</v>
      </c>
      <c r="Q351" s="2" t="s">
        <v>59</v>
      </c>
      <c r="R351" s="2" t="s">
        <v>48</v>
      </c>
      <c r="S351" s="2" t="s">
        <v>31</v>
      </c>
      <c r="T351" s="2" t="s">
        <v>242</v>
      </c>
      <c r="U351" s="2">
        <v>5655</v>
      </c>
      <c r="V351" s="10">
        <v>1940</v>
      </c>
      <c r="W351" s="10">
        <v>4288.40002</v>
      </c>
      <c r="X351" s="11">
        <v>0</v>
      </c>
      <c r="Y351" s="11">
        <v>2</v>
      </c>
      <c r="Z351" s="2" t="s">
        <v>380</v>
      </c>
      <c r="AA351" s="2" t="s">
        <v>2332</v>
      </c>
      <c r="AB351" s="3">
        <v>43713</v>
      </c>
      <c r="AC351" s="2">
        <v>10</v>
      </c>
      <c r="AD351" s="2" t="s">
        <v>39</v>
      </c>
      <c r="AE351" s="2">
        <v>0</v>
      </c>
      <c r="AF351" s="4">
        <v>3211100</v>
      </c>
      <c r="AG351" s="8">
        <v>32881.660000000003</v>
      </c>
      <c r="AH351" s="8">
        <f t="shared" si="20"/>
        <v>35351.072666</v>
      </c>
      <c r="AI351" s="8">
        <f t="shared" si="21"/>
        <v>2469.4126659999965</v>
      </c>
      <c r="AJ351" s="8">
        <f t="shared" si="22"/>
        <v>34660.557806000004</v>
      </c>
      <c r="AK351" s="8">
        <f t="shared" si="23"/>
        <v>1778.8978060000009</v>
      </c>
    </row>
    <row r="352" spans="1:37" x14ac:dyDescent="0.3">
      <c r="A352" s="1">
        <v>365</v>
      </c>
      <c r="B352" s="2" t="s">
        <v>2333</v>
      </c>
      <c r="C352" s="2" t="s">
        <v>371</v>
      </c>
      <c r="D352" s="2" t="s">
        <v>101</v>
      </c>
      <c r="E352" s="1">
        <v>1</v>
      </c>
      <c r="F352" s="2" t="s">
        <v>2334</v>
      </c>
      <c r="G352" s="2" t="s">
        <v>1017</v>
      </c>
      <c r="H352" s="2" t="s">
        <v>31</v>
      </c>
      <c r="I352" s="2" t="s">
        <v>1034</v>
      </c>
      <c r="J352" s="2" t="s">
        <v>31</v>
      </c>
      <c r="K352" s="10" t="s">
        <v>31</v>
      </c>
      <c r="L352" s="2" t="s">
        <v>1211</v>
      </c>
      <c r="M352" s="2" t="s">
        <v>346</v>
      </c>
      <c r="N352" s="2" t="s">
        <v>2335</v>
      </c>
      <c r="O352" s="2" t="s">
        <v>2336</v>
      </c>
      <c r="P352" s="2" t="s">
        <v>2337</v>
      </c>
      <c r="Q352" s="2" t="s">
        <v>59</v>
      </c>
      <c r="R352" s="2" t="s">
        <v>48</v>
      </c>
      <c r="S352" s="2" t="s">
        <v>31</v>
      </c>
      <c r="T352" s="2" t="s">
        <v>60</v>
      </c>
      <c r="U352" s="2">
        <v>10875</v>
      </c>
      <c r="V352" s="10">
        <v>1940</v>
      </c>
      <c r="W352" s="10">
        <v>4317</v>
      </c>
      <c r="X352" s="11">
        <v>0</v>
      </c>
      <c r="Y352" s="11">
        <v>1</v>
      </c>
      <c r="Z352" s="2" t="s">
        <v>380</v>
      </c>
      <c r="AA352" s="2" t="s">
        <v>2338</v>
      </c>
      <c r="AB352" s="3">
        <v>38089</v>
      </c>
      <c r="AC352" s="2">
        <v>1360000</v>
      </c>
      <c r="AD352" s="2" t="s">
        <v>107</v>
      </c>
      <c r="AE352" s="2">
        <v>0</v>
      </c>
      <c r="AF352" s="4">
        <v>3729600</v>
      </c>
      <c r="AG352" s="8">
        <v>34556.17</v>
      </c>
      <c r="AH352" s="8">
        <f t="shared" si="20"/>
        <v>37151.338366999997</v>
      </c>
      <c r="AI352" s="8">
        <f t="shared" si="21"/>
        <v>2595.1683669999984</v>
      </c>
      <c r="AJ352" s="8">
        <f t="shared" si="22"/>
        <v>36425.658796999996</v>
      </c>
      <c r="AK352" s="8">
        <f t="shared" si="23"/>
        <v>1869.4887969999982</v>
      </c>
    </row>
    <row r="353" spans="1:37" x14ac:dyDescent="0.3">
      <c r="A353" s="1">
        <v>366</v>
      </c>
      <c r="B353" s="2" t="s">
        <v>2339</v>
      </c>
      <c r="C353" s="2" t="s">
        <v>371</v>
      </c>
      <c r="D353" s="2" t="s">
        <v>101</v>
      </c>
      <c r="E353" s="1">
        <v>1</v>
      </c>
      <c r="F353" s="2" t="s">
        <v>2340</v>
      </c>
      <c r="G353" s="2" t="s">
        <v>322</v>
      </c>
      <c r="H353" s="2" t="s">
        <v>31</v>
      </c>
      <c r="I353" s="2" t="s">
        <v>2258</v>
      </c>
      <c r="J353" s="2" t="s">
        <v>31</v>
      </c>
      <c r="K353" s="10" t="s">
        <v>31</v>
      </c>
      <c r="L353" s="2" t="s">
        <v>2341</v>
      </c>
      <c r="M353" s="2" t="s">
        <v>2342</v>
      </c>
      <c r="N353" s="2" t="s">
        <v>31</v>
      </c>
      <c r="O353" s="2" t="s">
        <v>31</v>
      </c>
      <c r="P353" s="2" t="s">
        <v>2343</v>
      </c>
      <c r="Q353" s="2" t="s">
        <v>59</v>
      </c>
      <c r="R353" s="2" t="s">
        <v>48</v>
      </c>
      <c r="S353" s="2" t="s">
        <v>31</v>
      </c>
      <c r="T353" s="2" t="s">
        <v>60</v>
      </c>
      <c r="U353" s="2">
        <v>10875</v>
      </c>
      <c r="V353" s="10">
        <v>1916</v>
      </c>
      <c r="W353" s="10">
        <v>5683.8000199999997</v>
      </c>
      <c r="X353" s="11">
        <v>0</v>
      </c>
      <c r="Y353" s="11">
        <v>1</v>
      </c>
      <c r="Z353" s="2" t="s">
        <v>380</v>
      </c>
      <c r="AA353" s="2" t="s">
        <v>2344</v>
      </c>
      <c r="AB353" s="3">
        <v>35303</v>
      </c>
      <c r="AC353" s="2">
        <v>100</v>
      </c>
      <c r="AD353" s="2" t="s">
        <v>107</v>
      </c>
      <c r="AE353" s="2">
        <v>0</v>
      </c>
      <c r="AF353" s="4">
        <v>5139400</v>
      </c>
      <c r="AG353" s="8">
        <v>48992.52</v>
      </c>
      <c r="AH353" s="8">
        <f t="shared" si="20"/>
        <v>52671.858251999991</v>
      </c>
      <c r="AI353" s="8">
        <f t="shared" si="21"/>
        <v>3679.3382519999941</v>
      </c>
      <c r="AJ353" s="8">
        <f t="shared" si="22"/>
        <v>51643.015331999995</v>
      </c>
      <c r="AK353" s="8">
        <f t="shared" si="23"/>
        <v>2650.4953319999986</v>
      </c>
    </row>
    <row r="354" spans="1:37" x14ac:dyDescent="0.3">
      <c r="A354" s="1">
        <v>367</v>
      </c>
      <c r="B354" s="2" t="s">
        <v>2345</v>
      </c>
      <c r="C354" s="2" t="s">
        <v>371</v>
      </c>
      <c r="D354" s="2" t="s">
        <v>101</v>
      </c>
      <c r="E354" s="1">
        <v>1</v>
      </c>
      <c r="F354" s="2" t="s">
        <v>2346</v>
      </c>
      <c r="G354" s="2" t="s">
        <v>498</v>
      </c>
      <c r="H354" s="2" t="s">
        <v>31</v>
      </c>
      <c r="I354" s="2" t="s">
        <v>2258</v>
      </c>
      <c r="J354" s="2" t="s">
        <v>31</v>
      </c>
      <c r="K354" s="10" t="s">
        <v>31</v>
      </c>
      <c r="L354" s="2" t="s">
        <v>2347</v>
      </c>
      <c r="M354" s="2" t="s">
        <v>2348</v>
      </c>
      <c r="N354" s="2" t="s">
        <v>31</v>
      </c>
      <c r="O354" s="2" t="s">
        <v>31</v>
      </c>
      <c r="P354" s="2" t="s">
        <v>2349</v>
      </c>
      <c r="Q354" s="2" t="s">
        <v>59</v>
      </c>
      <c r="R354" s="2" t="s">
        <v>48</v>
      </c>
      <c r="S354" s="2" t="s">
        <v>31</v>
      </c>
      <c r="T354" s="2" t="s">
        <v>60</v>
      </c>
      <c r="U354" s="2">
        <v>10875</v>
      </c>
      <c r="V354" s="10">
        <v>1936</v>
      </c>
      <c r="W354" s="10">
        <v>3604.8000200000001</v>
      </c>
      <c r="X354" s="11">
        <v>0</v>
      </c>
      <c r="Y354" s="11">
        <v>1</v>
      </c>
      <c r="Z354" s="2" t="s">
        <v>380</v>
      </c>
      <c r="AA354" s="2" t="s">
        <v>2350</v>
      </c>
      <c r="AB354" s="3">
        <v>43138</v>
      </c>
      <c r="AC354" s="2">
        <v>2900000</v>
      </c>
      <c r="AD354" s="2" t="s">
        <v>107</v>
      </c>
      <c r="AE354" s="2">
        <v>0</v>
      </c>
      <c r="AF354" s="4">
        <v>4001100</v>
      </c>
      <c r="AG354" s="8">
        <v>37336.33</v>
      </c>
      <c r="AH354" s="8">
        <f t="shared" si="20"/>
        <v>40140.288382999999</v>
      </c>
      <c r="AI354" s="8">
        <f t="shared" si="21"/>
        <v>2803.9583829999974</v>
      </c>
      <c r="AJ354" s="8">
        <f t="shared" si="22"/>
        <v>39356.225453000006</v>
      </c>
      <c r="AK354" s="8">
        <f t="shared" si="23"/>
        <v>2019.8954530000046</v>
      </c>
    </row>
    <row r="355" spans="1:37" x14ac:dyDescent="0.3">
      <c r="A355" s="1">
        <v>370</v>
      </c>
      <c r="B355" s="2" t="s">
        <v>2351</v>
      </c>
      <c r="C355" s="2" t="s">
        <v>371</v>
      </c>
      <c r="D355" s="2" t="s">
        <v>101</v>
      </c>
      <c r="E355" s="1">
        <v>1</v>
      </c>
      <c r="F355" s="2" t="s">
        <v>2352</v>
      </c>
      <c r="G355" s="2" t="s">
        <v>2111</v>
      </c>
      <c r="H355" s="2" t="s">
        <v>31</v>
      </c>
      <c r="I355" s="2" t="s">
        <v>2258</v>
      </c>
      <c r="J355" s="2" t="s">
        <v>31</v>
      </c>
      <c r="K355" s="10" t="s">
        <v>31</v>
      </c>
      <c r="L355" s="2" t="s">
        <v>2353</v>
      </c>
      <c r="M355" s="2" t="s">
        <v>2354</v>
      </c>
      <c r="N355" s="2" t="s">
        <v>31</v>
      </c>
      <c r="O355" s="2" t="s">
        <v>31</v>
      </c>
      <c r="P355" s="2" t="s">
        <v>2355</v>
      </c>
      <c r="Q355" s="2" t="s">
        <v>59</v>
      </c>
      <c r="R355" s="2" t="s">
        <v>48</v>
      </c>
      <c r="S355" s="2" t="s">
        <v>31</v>
      </c>
      <c r="T355" s="2" t="s">
        <v>60</v>
      </c>
      <c r="U355" s="2">
        <v>7530</v>
      </c>
      <c r="V355" s="10">
        <v>1939</v>
      </c>
      <c r="W355" s="10">
        <v>3994.2000200000002</v>
      </c>
      <c r="X355" s="11">
        <v>0</v>
      </c>
      <c r="Y355" s="11">
        <v>1</v>
      </c>
      <c r="Z355" s="2" t="s">
        <v>380</v>
      </c>
      <c r="AA355" s="2" t="s">
        <v>2356</v>
      </c>
      <c r="AB355" s="3">
        <v>45883</v>
      </c>
      <c r="AC355" s="2">
        <v>2876250</v>
      </c>
      <c r="AD355" s="2" t="s">
        <v>39</v>
      </c>
      <c r="AE355" s="2">
        <v>0</v>
      </c>
      <c r="AF355" s="4">
        <v>3769700</v>
      </c>
      <c r="AG355" s="8">
        <v>38601.730000000003</v>
      </c>
      <c r="AH355" s="8">
        <f t="shared" si="20"/>
        <v>41500.719923000004</v>
      </c>
      <c r="AI355" s="8">
        <f t="shared" si="21"/>
        <v>2898.989923000001</v>
      </c>
      <c r="AJ355" s="8">
        <f t="shared" si="22"/>
        <v>40690.083593000003</v>
      </c>
      <c r="AK355" s="8">
        <f t="shared" si="23"/>
        <v>2088.3535929999998</v>
      </c>
    </row>
    <row r="356" spans="1:37" x14ac:dyDescent="0.3">
      <c r="A356" s="1">
        <v>371</v>
      </c>
      <c r="B356" s="2" t="s">
        <v>2357</v>
      </c>
      <c r="C356" s="2" t="s">
        <v>371</v>
      </c>
      <c r="D356" s="2" t="s">
        <v>101</v>
      </c>
      <c r="E356" s="1">
        <v>1</v>
      </c>
      <c r="F356" s="2" t="s">
        <v>2358</v>
      </c>
      <c r="G356" s="2" t="s">
        <v>2359</v>
      </c>
      <c r="H356" s="2" t="s">
        <v>31</v>
      </c>
      <c r="I356" s="2" t="s">
        <v>1944</v>
      </c>
      <c r="J356" s="2" t="s">
        <v>31</v>
      </c>
      <c r="K356" s="10" t="s">
        <v>31</v>
      </c>
      <c r="L356" s="2" t="s">
        <v>1336</v>
      </c>
      <c r="M356" s="2" t="s">
        <v>2360</v>
      </c>
      <c r="N356" s="2" t="s">
        <v>31</v>
      </c>
      <c r="O356" s="2" t="s">
        <v>31</v>
      </c>
      <c r="P356" s="2" t="s">
        <v>2361</v>
      </c>
      <c r="Q356" s="2" t="s">
        <v>59</v>
      </c>
      <c r="R356" s="2" t="s">
        <v>48</v>
      </c>
      <c r="S356" s="2" t="s">
        <v>31</v>
      </c>
      <c r="T356" s="2" t="s">
        <v>60</v>
      </c>
      <c r="U356" s="2">
        <v>7002</v>
      </c>
      <c r="V356" s="10">
        <v>2000</v>
      </c>
      <c r="W356" s="10">
        <v>3308</v>
      </c>
      <c r="X356" s="11">
        <v>0</v>
      </c>
      <c r="Y356" s="11">
        <v>1</v>
      </c>
      <c r="Z356" s="2" t="s">
        <v>380</v>
      </c>
      <c r="AA356" s="2" t="s">
        <v>2362</v>
      </c>
      <c r="AB356" s="3">
        <v>42845</v>
      </c>
      <c r="AC356" s="2">
        <v>1</v>
      </c>
      <c r="AD356" s="2" t="s">
        <v>39</v>
      </c>
      <c r="AE356" s="2">
        <v>0</v>
      </c>
      <c r="AF356" s="4">
        <v>3207700</v>
      </c>
      <c r="AG356" s="8">
        <v>32846.85</v>
      </c>
      <c r="AH356" s="8">
        <f t="shared" si="20"/>
        <v>35313.648434999996</v>
      </c>
      <c r="AI356" s="8">
        <f t="shared" si="21"/>
        <v>2466.798434999997</v>
      </c>
      <c r="AJ356" s="8">
        <f t="shared" si="22"/>
        <v>34623.864585000003</v>
      </c>
      <c r="AK356" s="8">
        <f t="shared" si="23"/>
        <v>1777.0145850000044</v>
      </c>
    </row>
    <row r="357" spans="1:37" x14ac:dyDescent="0.3">
      <c r="A357" s="1">
        <v>372</v>
      </c>
      <c r="B357" s="2" t="s">
        <v>2363</v>
      </c>
      <c r="C357" s="2" t="s">
        <v>371</v>
      </c>
      <c r="D357" s="2" t="s">
        <v>101</v>
      </c>
      <c r="E357" s="1">
        <v>1</v>
      </c>
      <c r="F357" s="2" t="s">
        <v>2364</v>
      </c>
      <c r="G357" s="2" t="s">
        <v>860</v>
      </c>
      <c r="H357" s="2" t="s">
        <v>31</v>
      </c>
      <c r="I357" s="2" t="s">
        <v>2325</v>
      </c>
      <c r="J357" s="2" t="s">
        <v>31</v>
      </c>
      <c r="K357" s="10" t="s">
        <v>31</v>
      </c>
      <c r="L357" s="2" t="s">
        <v>2365</v>
      </c>
      <c r="M357" s="2" t="s">
        <v>31</v>
      </c>
      <c r="N357" s="2" t="s">
        <v>31</v>
      </c>
      <c r="O357" s="2" t="s">
        <v>31</v>
      </c>
      <c r="P357" s="2" t="s">
        <v>2366</v>
      </c>
      <c r="Q357" s="2" t="s">
        <v>59</v>
      </c>
      <c r="R357" s="2" t="s">
        <v>48</v>
      </c>
      <c r="S357" s="2" t="s">
        <v>31</v>
      </c>
      <c r="T357" s="2" t="s">
        <v>60</v>
      </c>
      <c r="U357" s="2">
        <v>7509</v>
      </c>
      <c r="V357" s="10">
        <v>1925</v>
      </c>
      <c r="W357" s="10">
        <v>1400</v>
      </c>
      <c r="X357" s="11">
        <v>0</v>
      </c>
      <c r="Y357" s="11">
        <v>1</v>
      </c>
      <c r="Z357" s="2" t="s">
        <v>380</v>
      </c>
      <c r="AA357" s="2" t="s">
        <v>2367</v>
      </c>
      <c r="AB357" s="3">
        <v>43347</v>
      </c>
      <c r="AC357" s="2">
        <v>1300000</v>
      </c>
      <c r="AD357" s="2" t="s">
        <v>39</v>
      </c>
      <c r="AE357" s="2">
        <v>0</v>
      </c>
      <c r="AF357" s="4">
        <v>2015900</v>
      </c>
      <c r="AG357" s="8">
        <v>20642.82</v>
      </c>
      <c r="AH357" s="8">
        <f t="shared" si="20"/>
        <v>22193.095782</v>
      </c>
      <c r="AI357" s="8">
        <f t="shared" si="21"/>
        <v>1550.2757820000006</v>
      </c>
      <c r="AJ357" s="8">
        <f t="shared" si="22"/>
        <v>21759.596561999999</v>
      </c>
      <c r="AK357" s="8">
        <f t="shared" si="23"/>
        <v>1116.7765619999991</v>
      </c>
    </row>
    <row r="358" spans="1:37" x14ac:dyDescent="0.3">
      <c r="A358" s="1">
        <v>373</v>
      </c>
      <c r="B358" s="2" t="s">
        <v>2368</v>
      </c>
      <c r="C358" s="2" t="s">
        <v>371</v>
      </c>
      <c r="D358" s="2" t="s">
        <v>101</v>
      </c>
      <c r="E358" s="1">
        <v>1</v>
      </c>
      <c r="F358" s="2" t="s">
        <v>2369</v>
      </c>
      <c r="G358" s="2" t="s">
        <v>2370</v>
      </c>
      <c r="H358" s="2" t="s">
        <v>31</v>
      </c>
      <c r="I358" s="2" t="s">
        <v>2251</v>
      </c>
      <c r="J358" s="2" t="s">
        <v>31</v>
      </c>
      <c r="K358" s="10" t="s">
        <v>31</v>
      </c>
      <c r="L358" s="2" t="s">
        <v>2371</v>
      </c>
      <c r="M358" s="2" t="s">
        <v>2372</v>
      </c>
      <c r="N358" s="2" t="s">
        <v>31</v>
      </c>
      <c r="O358" s="2" t="s">
        <v>31</v>
      </c>
      <c r="P358" s="2" t="s">
        <v>2373</v>
      </c>
      <c r="Q358" s="2" t="s">
        <v>59</v>
      </c>
      <c r="R358" s="2" t="s">
        <v>48</v>
      </c>
      <c r="S358" s="2" t="s">
        <v>31</v>
      </c>
      <c r="T358" s="2" t="s">
        <v>60</v>
      </c>
      <c r="U358" s="2">
        <v>10331</v>
      </c>
      <c r="V358" s="10">
        <v>1915</v>
      </c>
      <c r="W358" s="10">
        <v>5310.4000100000003</v>
      </c>
      <c r="X358" s="11">
        <v>0</v>
      </c>
      <c r="Y358" s="11">
        <v>1</v>
      </c>
      <c r="Z358" s="2" t="s">
        <v>380</v>
      </c>
      <c r="AA358" s="2" t="s">
        <v>2374</v>
      </c>
      <c r="AB358" s="3">
        <v>40765</v>
      </c>
      <c r="AC358" s="2">
        <v>1</v>
      </c>
      <c r="AD358" s="2" t="s">
        <v>107</v>
      </c>
      <c r="AE358" s="2">
        <v>0</v>
      </c>
      <c r="AF358" s="4">
        <v>3176100</v>
      </c>
      <c r="AG358" s="8">
        <v>28888.33</v>
      </c>
      <c r="AH358" s="8">
        <f t="shared" si="20"/>
        <v>31057.843583000002</v>
      </c>
      <c r="AI358" s="8">
        <f t="shared" si="21"/>
        <v>2169.5135829999999</v>
      </c>
      <c r="AJ358" s="8">
        <f t="shared" si="22"/>
        <v>30451.188653000005</v>
      </c>
      <c r="AK358" s="8">
        <f t="shared" si="23"/>
        <v>1562.858653000003</v>
      </c>
    </row>
    <row r="359" spans="1:37" x14ac:dyDescent="0.3">
      <c r="A359" s="1">
        <v>374</v>
      </c>
      <c r="B359" s="2" t="s">
        <v>2375</v>
      </c>
      <c r="C359" s="2" t="s">
        <v>371</v>
      </c>
      <c r="D359" s="2" t="s">
        <v>101</v>
      </c>
      <c r="E359" s="1">
        <v>1</v>
      </c>
      <c r="F359" s="2" t="s">
        <v>2376</v>
      </c>
      <c r="G359" s="2" t="s">
        <v>1027</v>
      </c>
      <c r="H359" s="2" t="s">
        <v>31</v>
      </c>
      <c r="I359" s="2" t="s">
        <v>2258</v>
      </c>
      <c r="J359" s="2" t="s">
        <v>31</v>
      </c>
      <c r="K359" s="10" t="s">
        <v>31</v>
      </c>
      <c r="L359" s="2" t="s">
        <v>2232</v>
      </c>
      <c r="M359" s="2" t="s">
        <v>2377</v>
      </c>
      <c r="N359" s="2" t="s">
        <v>31</v>
      </c>
      <c r="O359" s="2" t="s">
        <v>31</v>
      </c>
      <c r="P359" s="2" t="s">
        <v>2366</v>
      </c>
      <c r="Q359" s="2" t="s">
        <v>59</v>
      </c>
      <c r="R359" s="2" t="s">
        <v>48</v>
      </c>
      <c r="S359" s="2" t="s">
        <v>31</v>
      </c>
      <c r="T359" s="2" t="s">
        <v>60</v>
      </c>
      <c r="U359" s="2">
        <v>22528</v>
      </c>
      <c r="V359" s="10">
        <v>1917</v>
      </c>
      <c r="W359" s="10">
        <v>6049.6000199999999</v>
      </c>
      <c r="X359" s="11">
        <v>0</v>
      </c>
      <c r="Y359" s="11">
        <v>1</v>
      </c>
      <c r="Z359" s="2" t="s">
        <v>380</v>
      </c>
      <c r="AA359" s="2" t="s">
        <v>2378</v>
      </c>
      <c r="AB359" s="3">
        <v>42026</v>
      </c>
      <c r="AC359" s="2">
        <v>3650000</v>
      </c>
      <c r="AD359" s="2" t="s">
        <v>39</v>
      </c>
      <c r="AE359" s="2">
        <v>0</v>
      </c>
      <c r="AF359" s="4">
        <v>6536100</v>
      </c>
      <c r="AG359" s="8">
        <v>66929.66</v>
      </c>
      <c r="AH359" s="8">
        <f t="shared" si="20"/>
        <v>71956.077466000002</v>
      </c>
      <c r="AI359" s="8">
        <f t="shared" si="21"/>
        <v>5026.417465999999</v>
      </c>
      <c r="AJ359" s="8">
        <f t="shared" si="22"/>
        <v>70550.554606000005</v>
      </c>
      <c r="AK359" s="8">
        <f t="shared" si="23"/>
        <v>3620.8946060000017</v>
      </c>
    </row>
    <row r="360" spans="1:37" x14ac:dyDescent="0.3">
      <c r="A360" s="1">
        <v>375</v>
      </c>
      <c r="B360" s="2" t="s">
        <v>2379</v>
      </c>
      <c r="C360" s="2" t="s">
        <v>371</v>
      </c>
      <c r="D360" s="2" t="s">
        <v>101</v>
      </c>
      <c r="E360" s="1">
        <v>1</v>
      </c>
      <c r="F360" s="2" t="s">
        <v>2380</v>
      </c>
      <c r="G360" s="2" t="s">
        <v>933</v>
      </c>
      <c r="H360" s="2" t="s">
        <v>31</v>
      </c>
      <c r="I360" s="2" t="s">
        <v>2258</v>
      </c>
      <c r="J360" s="2" t="s">
        <v>31</v>
      </c>
      <c r="K360" s="10" t="s">
        <v>31</v>
      </c>
      <c r="L360" s="2" t="s">
        <v>2381</v>
      </c>
      <c r="M360" s="2" t="s">
        <v>2382</v>
      </c>
      <c r="N360" s="2" t="s">
        <v>2383</v>
      </c>
      <c r="O360" s="2" t="s">
        <v>2384</v>
      </c>
      <c r="P360" s="2" t="s">
        <v>2385</v>
      </c>
      <c r="Q360" s="2" t="s">
        <v>59</v>
      </c>
      <c r="R360" s="2" t="s">
        <v>48</v>
      </c>
      <c r="S360" s="2" t="s">
        <v>31</v>
      </c>
      <c r="T360" s="2" t="s">
        <v>60</v>
      </c>
      <c r="U360" s="2">
        <v>24185</v>
      </c>
      <c r="V360" s="10">
        <v>1920</v>
      </c>
      <c r="W360" s="10">
        <v>6638.8</v>
      </c>
      <c r="X360" s="11">
        <v>0</v>
      </c>
      <c r="Y360" s="11">
        <v>1</v>
      </c>
      <c r="Z360" s="2" t="s">
        <v>380</v>
      </c>
      <c r="AA360" s="2" t="s">
        <v>2386</v>
      </c>
      <c r="AB360" s="3">
        <v>43865</v>
      </c>
      <c r="AC360" s="2">
        <v>1</v>
      </c>
      <c r="AD360" s="2" t="s">
        <v>107</v>
      </c>
      <c r="AE360" s="2">
        <v>0</v>
      </c>
      <c r="AF360" s="4">
        <v>5941500</v>
      </c>
      <c r="AG360" s="8">
        <v>57206.03</v>
      </c>
      <c r="AH360" s="8">
        <f t="shared" si="20"/>
        <v>61502.202852999995</v>
      </c>
      <c r="AI360" s="8">
        <f t="shared" si="21"/>
        <v>4296.1728529999964</v>
      </c>
      <c r="AJ360" s="8">
        <f t="shared" si="22"/>
        <v>60300.876222999999</v>
      </c>
      <c r="AK360" s="8">
        <f t="shared" si="23"/>
        <v>3094.8462230000005</v>
      </c>
    </row>
    <row r="361" spans="1:37" x14ac:dyDescent="0.3">
      <c r="A361" s="1">
        <v>376</v>
      </c>
      <c r="B361" s="2" t="s">
        <v>2387</v>
      </c>
      <c r="C361" s="2" t="s">
        <v>898</v>
      </c>
      <c r="D361" s="2" t="s">
        <v>1031</v>
      </c>
      <c r="E361" s="1">
        <v>0</v>
      </c>
      <c r="F361" s="2" t="s">
        <v>2388</v>
      </c>
      <c r="G361" s="2" t="s">
        <v>2389</v>
      </c>
      <c r="H361" s="2" t="s">
        <v>31</v>
      </c>
      <c r="I361" s="2" t="s">
        <v>1040</v>
      </c>
      <c r="J361" s="2" t="s">
        <v>31</v>
      </c>
      <c r="K361" s="10" t="s">
        <v>31</v>
      </c>
      <c r="L361" s="2" t="s">
        <v>442</v>
      </c>
      <c r="M361" s="2" t="s">
        <v>31</v>
      </c>
      <c r="N361" s="2" t="s">
        <v>443</v>
      </c>
      <c r="O361" s="2" t="s">
        <v>31</v>
      </c>
      <c r="P361" s="2" t="s">
        <v>444</v>
      </c>
      <c r="Q361" s="2" t="s">
        <v>86</v>
      </c>
      <c r="R361" s="2" t="s">
        <v>48</v>
      </c>
      <c r="S361" s="2" t="s">
        <v>31</v>
      </c>
      <c r="T361" s="2" t="s">
        <v>445</v>
      </c>
      <c r="U361" s="2">
        <v>57380</v>
      </c>
      <c r="V361" s="10">
        <v>1927</v>
      </c>
      <c r="W361" s="10">
        <v>161561</v>
      </c>
      <c r="X361" s="11">
        <v>0</v>
      </c>
      <c r="Y361" s="11">
        <v>0</v>
      </c>
      <c r="Z361" s="2" t="s">
        <v>1036</v>
      </c>
      <c r="AA361" s="2" t="s">
        <v>2390</v>
      </c>
      <c r="AB361" s="3">
        <v>29035</v>
      </c>
      <c r="AC361" s="2">
        <v>3000000</v>
      </c>
      <c r="AD361" s="2" t="s">
        <v>39</v>
      </c>
      <c r="AE361" s="2">
        <v>0</v>
      </c>
      <c r="AF361" s="4">
        <v>57203200</v>
      </c>
      <c r="AG361" s="8">
        <v>0</v>
      </c>
      <c r="AH361" s="8">
        <f t="shared" si="20"/>
        <v>0</v>
      </c>
      <c r="AI361" s="8">
        <f t="shared" si="21"/>
        <v>0</v>
      </c>
      <c r="AJ361" s="8">
        <f t="shared" si="22"/>
        <v>0</v>
      </c>
      <c r="AK361" s="8">
        <f t="shared" si="23"/>
        <v>0</v>
      </c>
    </row>
    <row r="362" spans="1:37" x14ac:dyDescent="0.3">
      <c r="A362" s="1">
        <v>21093</v>
      </c>
      <c r="B362" s="2" t="s">
        <v>2795</v>
      </c>
      <c r="C362" s="2" t="s">
        <v>898</v>
      </c>
      <c r="D362" s="2" t="s">
        <v>1031</v>
      </c>
      <c r="E362" s="1">
        <v>0</v>
      </c>
      <c r="F362" s="2" t="s">
        <v>2796</v>
      </c>
      <c r="G362" s="2" t="s">
        <v>2664</v>
      </c>
      <c r="H362" s="2" t="s">
        <v>31</v>
      </c>
      <c r="I362" s="2" t="s">
        <v>1040</v>
      </c>
      <c r="J362" s="2" t="s">
        <v>31</v>
      </c>
      <c r="K362" s="10" t="s">
        <v>31</v>
      </c>
      <c r="L362" s="2" t="s">
        <v>442</v>
      </c>
      <c r="M362" s="2" t="s">
        <v>31</v>
      </c>
      <c r="N362" s="2" t="s">
        <v>443</v>
      </c>
      <c r="O362" s="2" t="s">
        <v>31</v>
      </c>
      <c r="P362" s="2" t="s">
        <v>556</v>
      </c>
      <c r="Q362" s="2" t="s">
        <v>86</v>
      </c>
      <c r="R362" s="2" t="s">
        <v>48</v>
      </c>
      <c r="S362" s="2" t="s">
        <v>31</v>
      </c>
      <c r="T362" s="2" t="s">
        <v>445</v>
      </c>
      <c r="U362" s="2">
        <v>60603</v>
      </c>
      <c r="V362" s="10">
        <v>2016</v>
      </c>
      <c r="W362" s="10">
        <v>66406</v>
      </c>
      <c r="X362" s="11">
        <v>1</v>
      </c>
      <c r="Y362" s="11">
        <v>0</v>
      </c>
      <c r="Z362" s="2" t="s">
        <v>1036</v>
      </c>
      <c r="AA362" s="2" t="s">
        <v>2390</v>
      </c>
      <c r="AB362" s="3">
        <v>29035</v>
      </c>
      <c r="AC362" s="2">
        <v>3000000</v>
      </c>
      <c r="AD362" s="2" t="s">
        <v>39</v>
      </c>
      <c r="AE362" s="2">
        <v>0</v>
      </c>
      <c r="AF362" s="4">
        <v>59140800</v>
      </c>
      <c r="AG362" s="8">
        <v>0</v>
      </c>
      <c r="AH362" s="8">
        <f t="shared" si="20"/>
        <v>0</v>
      </c>
      <c r="AI362" s="8">
        <f t="shared" si="21"/>
        <v>0</v>
      </c>
      <c r="AJ362" s="8">
        <f t="shared" si="22"/>
        <v>0</v>
      </c>
      <c r="AK362" s="8">
        <f t="shared" si="23"/>
        <v>0</v>
      </c>
    </row>
    <row r="363" spans="1:37" x14ac:dyDescent="0.3">
      <c r="A363" s="1">
        <v>378</v>
      </c>
      <c r="B363" s="2" t="s">
        <v>2391</v>
      </c>
      <c r="C363" s="2" t="s">
        <v>2392</v>
      </c>
      <c r="D363" s="2" t="s">
        <v>1031</v>
      </c>
      <c r="E363" s="1">
        <v>0</v>
      </c>
      <c r="F363" s="2" t="s">
        <v>2393</v>
      </c>
      <c r="G363" s="2" t="s">
        <v>2394</v>
      </c>
      <c r="H363" s="2" t="s">
        <v>31</v>
      </c>
      <c r="I363" s="2" t="s">
        <v>1040</v>
      </c>
      <c r="J363" s="2" t="s">
        <v>31</v>
      </c>
      <c r="K363" s="10" t="s">
        <v>31</v>
      </c>
      <c r="L363" s="2" t="s">
        <v>442</v>
      </c>
      <c r="M363" s="2" t="s">
        <v>31</v>
      </c>
      <c r="N363" s="2" t="s">
        <v>443</v>
      </c>
      <c r="O363" s="2" t="s">
        <v>31</v>
      </c>
      <c r="P363" s="2" t="s">
        <v>444</v>
      </c>
      <c r="Q363" s="2" t="s">
        <v>86</v>
      </c>
      <c r="R363" s="2" t="s">
        <v>48</v>
      </c>
      <c r="S363" s="2" t="s">
        <v>31</v>
      </c>
      <c r="T363" s="2" t="s">
        <v>445</v>
      </c>
      <c r="U363" s="2">
        <v>19305</v>
      </c>
      <c r="V363" s="10">
        <v>1940</v>
      </c>
      <c r="W363" s="10">
        <v>18430</v>
      </c>
      <c r="X363" s="11">
        <v>5</v>
      </c>
      <c r="Y363" s="11">
        <v>0</v>
      </c>
      <c r="Z363" s="2" t="s">
        <v>1036</v>
      </c>
      <c r="AA363" s="2" t="s">
        <v>2395</v>
      </c>
      <c r="AB363" s="3">
        <v>24344</v>
      </c>
      <c r="AC363" s="2">
        <v>0</v>
      </c>
      <c r="AD363" s="2" t="s">
        <v>39</v>
      </c>
      <c r="AE363" s="2">
        <v>0</v>
      </c>
      <c r="AF363" s="4">
        <v>7938500</v>
      </c>
      <c r="AG363" s="8">
        <v>68112.33</v>
      </c>
      <c r="AH363" s="8">
        <f t="shared" si="20"/>
        <v>73227.565982999993</v>
      </c>
      <c r="AI363" s="8">
        <f t="shared" si="21"/>
        <v>5115.2359829999914</v>
      </c>
      <c r="AJ363" s="8">
        <f t="shared" si="22"/>
        <v>71797.207053000006</v>
      </c>
      <c r="AK363" s="8">
        <f t="shared" si="23"/>
        <v>3684.8770530000038</v>
      </c>
    </row>
    <row r="364" spans="1:37" x14ac:dyDescent="0.3">
      <c r="A364" s="1">
        <v>379</v>
      </c>
      <c r="B364" s="2" t="s">
        <v>2396</v>
      </c>
      <c r="C364" s="2" t="s">
        <v>2397</v>
      </c>
      <c r="D364" s="2" t="s">
        <v>1031</v>
      </c>
      <c r="E364" s="1">
        <v>0</v>
      </c>
      <c r="F364" s="2" t="s">
        <v>2398</v>
      </c>
      <c r="G364" s="2" t="s">
        <v>2399</v>
      </c>
      <c r="H364" s="2" t="s">
        <v>31</v>
      </c>
      <c r="I364" s="2" t="s">
        <v>1040</v>
      </c>
      <c r="J364" s="2" t="s">
        <v>31</v>
      </c>
      <c r="K364" s="10" t="s">
        <v>31</v>
      </c>
      <c r="L364" s="2" t="s">
        <v>2400</v>
      </c>
      <c r="M364" s="2" t="s">
        <v>2401</v>
      </c>
      <c r="N364" s="2" t="s">
        <v>31</v>
      </c>
      <c r="O364" s="2" t="s">
        <v>31</v>
      </c>
      <c r="P364" s="2" t="s">
        <v>2402</v>
      </c>
      <c r="Q364" s="2" t="s">
        <v>86</v>
      </c>
      <c r="R364" s="2" t="s">
        <v>48</v>
      </c>
      <c r="S364" s="2" t="s">
        <v>31</v>
      </c>
      <c r="T364" s="2" t="s">
        <v>445</v>
      </c>
      <c r="U364" s="2">
        <v>7250</v>
      </c>
      <c r="V364" s="10">
        <v>1940</v>
      </c>
      <c r="W364" s="10">
        <v>2160</v>
      </c>
      <c r="X364" s="11">
        <v>1</v>
      </c>
      <c r="Y364" s="11">
        <v>0</v>
      </c>
      <c r="Z364" s="2" t="s">
        <v>1036</v>
      </c>
      <c r="AA364" s="2" t="s">
        <v>2403</v>
      </c>
      <c r="AB364" s="3">
        <v>34470</v>
      </c>
      <c r="AC364" s="2">
        <v>380000</v>
      </c>
      <c r="AD364" s="2" t="s">
        <v>39</v>
      </c>
      <c r="AE364" s="2">
        <v>0</v>
      </c>
      <c r="AF364" s="4">
        <v>3111600</v>
      </c>
      <c r="AG364" s="8">
        <v>53395.06</v>
      </c>
      <c r="AH364" s="8">
        <f t="shared" si="20"/>
        <v>57405.029005999997</v>
      </c>
      <c r="AI364" s="8">
        <f t="shared" si="21"/>
        <v>4009.9690059999994</v>
      </c>
      <c r="AJ364" s="8">
        <f t="shared" si="22"/>
        <v>56283.732746000001</v>
      </c>
      <c r="AK364" s="8">
        <f t="shared" si="23"/>
        <v>2888.6727460000038</v>
      </c>
    </row>
    <row r="365" spans="1:37" x14ac:dyDescent="0.3">
      <c r="A365" s="1">
        <v>380</v>
      </c>
      <c r="B365" s="2" t="s">
        <v>2404</v>
      </c>
      <c r="C365" s="2" t="s">
        <v>1047</v>
      </c>
      <c r="D365" s="2" t="s">
        <v>1031</v>
      </c>
      <c r="E365" s="1">
        <v>0</v>
      </c>
      <c r="F365" s="2" t="s">
        <v>2405</v>
      </c>
      <c r="G365" s="2" t="s">
        <v>2406</v>
      </c>
      <c r="H365" s="2" t="s">
        <v>31</v>
      </c>
      <c r="I365" s="2" t="s">
        <v>1944</v>
      </c>
      <c r="J365" s="2" t="s">
        <v>31</v>
      </c>
      <c r="K365" s="10" t="s">
        <v>31</v>
      </c>
      <c r="L365" s="2" t="s">
        <v>555</v>
      </c>
      <c r="M365" s="2" t="s">
        <v>31</v>
      </c>
      <c r="N365" s="2" t="s">
        <v>2259</v>
      </c>
      <c r="O365" s="2" t="s">
        <v>31</v>
      </c>
      <c r="P365" s="2" t="s">
        <v>556</v>
      </c>
      <c r="Q365" s="2" t="s">
        <v>86</v>
      </c>
      <c r="R365" s="2" t="s">
        <v>48</v>
      </c>
      <c r="S365" s="2" t="s">
        <v>31</v>
      </c>
      <c r="T365" s="2" t="s">
        <v>2407</v>
      </c>
      <c r="U365" s="2">
        <v>21215</v>
      </c>
      <c r="V365" s="10">
        <v>1930</v>
      </c>
      <c r="W365" s="10">
        <v>23198.39</v>
      </c>
      <c r="X365" s="11">
        <v>5</v>
      </c>
      <c r="Y365" s="11">
        <v>0</v>
      </c>
      <c r="Z365" s="2" t="s">
        <v>1036</v>
      </c>
      <c r="AA365" s="2" t="s">
        <v>2408</v>
      </c>
      <c r="AB365" s="3">
        <v>40660</v>
      </c>
      <c r="AC365" s="2">
        <v>3800000</v>
      </c>
      <c r="AD365" s="2" t="s">
        <v>39</v>
      </c>
      <c r="AE365" s="2">
        <v>0</v>
      </c>
      <c r="AF365" s="4">
        <v>9481600</v>
      </c>
      <c r="AG365" s="8">
        <v>29518.84</v>
      </c>
      <c r="AH365" s="8">
        <f t="shared" si="20"/>
        <v>31735.704883999999</v>
      </c>
      <c r="AI365" s="8">
        <f t="shared" si="21"/>
        <v>2216.8648839999987</v>
      </c>
      <c r="AJ365" s="8">
        <f t="shared" si="22"/>
        <v>31115.809244</v>
      </c>
      <c r="AK365" s="8">
        <f t="shared" si="23"/>
        <v>1596.9692439999999</v>
      </c>
    </row>
    <row r="366" spans="1:37" x14ac:dyDescent="0.3">
      <c r="A366" s="1">
        <v>381</v>
      </c>
      <c r="B366" s="2" t="s">
        <v>2409</v>
      </c>
      <c r="C366" s="2" t="s">
        <v>1047</v>
      </c>
      <c r="D366" s="2" t="s">
        <v>1031</v>
      </c>
      <c r="E366" s="1" t="s">
        <v>31</v>
      </c>
      <c r="F366" s="2" t="s">
        <v>2410</v>
      </c>
      <c r="G366" s="2" t="s">
        <v>2411</v>
      </c>
      <c r="H366" s="2" t="s">
        <v>31</v>
      </c>
      <c r="I366" s="2" t="s">
        <v>2325</v>
      </c>
      <c r="J366" s="2" t="s">
        <v>31</v>
      </c>
      <c r="K366" s="10" t="s">
        <v>31</v>
      </c>
      <c r="L366" s="2" t="s">
        <v>442</v>
      </c>
      <c r="M366" s="2" t="s">
        <v>31</v>
      </c>
      <c r="N366" s="2" t="s">
        <v>443</v>
      </c>
      <c r="O366" s="2" t="s">
        <v>31</v>
      </c>
      <c r="P366" s="2" t="s">
        <v>444</v>
      </c>
      <c r="Q366" s="2" t="s">
        <v>86</v>
      </c>
      <c r="R366" s="2" t="s">
        <v>48</v>
      </c>
      <c r="S366" s="2" t="s">
        <v>31</v>
      </c>
      <c r="T366" s="2" t="s">
        <v>445</v>
      </c>
      <c r="U366" s="2">
        <v>36855</v>
      </c>
      <c r="V366" s="10" t="s">
        <v>31</v>
      </c>
      <c r="W366" s="10">
        <v>0</v>
      </c>
      <c r="X366" s="11" t="s">
        <v>31</v>
      </c>
      <c r="Y366" s="11" t="s">
        <v>31</v>
      </c>
      <c r="Z366" s="2" t="s">
        <v>1036</v>
      </c>
      <c r="AA366" s="2" t="s">
        <v>2412</v>
      </c>
      <c r="AB366" s="3">
        <v>24344</v>
      </c>
      <c r="AC366" s="2">
        <v>0</v>
      </c>
      <c r="AD366" s="2" t="s">
        <v>39</v>
      </c>
      <c r="AE366" s="2" t="s">
        <v>31</v>
      </c>
      <c r="AF366" s="4">
        <v>4425300</v>
      </c>
      <c r="AG366" s="8">
        <v>22781.439999999999</v>
      </c>
      <c r="AH366" s="8">
        <f t="shared" si="20"/>
        <v>24492.326143999999</v>
      </c>
      <c r="AI366" s="8">
        <f t="shared" si="21"/>
        <v>1710.8861440000001</v>
      </c>
      <c r="AJ366" s="8">
        <f t="shared" si="22"/>
        <v>24013.915903999998</v>
      </c>
      <c r="AK366" s="8">
        <f t="shared" si="23"/>
        <v>1232.475903999999</v>
      </c>
    </row>
    <row r="367" spans="1:37" x14ac:dyDescent="0.3">
      <c r="A367" s="1">
        <v>383</v>
      </c>
      <c r="B367" s="2" t="s">
        <v>2413</v>
      </c>
      <c r="C367" s="2" t="s">
        <v>898</v>
      </c>
      <c r="D367" s="2" t="s">
        <v>1031</v>
      </c>
      <c r="E367" s="1">
        <v>0</v>
      </c>
      <c r="F367" s="2" t="s">
        <v>2414</v>
      </c>
      <c r="G367" s="2" t="s">
        <v>2415</v>
      </c>
      <c r="H367" s="2" t="s">
        <v>31</v>
      </c>
      <c r="I367" s="2" t="s">
        <v>1040</v>
      </c>
      <c r="J367" s="2" t="s">
        <v>31</v>
      </c>
      <c r="K367" s="10" t="s">
        <v>31</v>
      </c>
      <c r="L367" s="2" t="s">
        <v>555</v>
      </c>
      <c r="M367" s="2" t="s">
        <v>31</v>
      </c>
      <c r="N367" s="2" t="s">
        <v>443</v>
      </c>
      <c r="O367" s="2" t="s">
        <v>31</v>
      </c>
      <c r="P367" s="2" t="s">
        <v>444</v>
      </c>
      <c r="Q367" s="2" t="s">
        <v>86</v>
      </c>
      <c r="R367" s="2" t="s">
        <v>48</v>
      </c>
      <c r="S367" s="2" t="s">
        <v>31</v>
      </c>
      <c r="T367" s="2" t="s">
        <v>445</v>
      </c>
      <c r="U367" s="2">
        <v>28800</v>
      </c>
      <c r="V367" s="10">
        <v>1935</v>
      </c>
      <c r="W367" s="10">
        <v>56442.25</v>
      </c>
      <c r="X367" s="11">
        <v>4</v>
      </c>
      <c r="Y367" s="11">
        <v>0</v>
      </c>
      <c r="Z367" s="2" t="s">
        <v>1036</v>
      </c>
      <c r="AA367" s="2" t="s">
        <v>2416</v>
      </c>
      <c r="AB367" s="3">
        <v>38666</v>
      </c>
      <c r="AC367" s="2">
        <v>9945000</v>
      </c>
      <c r="AD367" s="2" t="s">
        <v>39</v>
      </c>
      <c r="AE367" s="2">
        <v>0</v>
      </c>
      <c r="AF367" s="4">
        <v>17613000</v>
      </c>
      <c r="AG367" s="8">
        <v>0</v>
      </c>
      <c r="AH367" s="8">
        <f t="shared" si="20"/>
        <v>0</v>
      </c>
      <c r="AI367" s="8">
        <f t="shared" si="21"/>
        <v>0</v>
      </c>
      <c r="AJ367" s="8">
        <f t="shared" si="22"/>
        <v>0</v>
      </c>
      <c r="AK367" s="8">
        <f t="shared" si="23"/>
        <v>0</v>
      </c>
    </row>
    <row r="368" spans="1:37" x14ac:dyDescent="0.3">
      <c r="A368" s="1">
        <v>384</v>
      </c>
      <c r="B368" s="2" t="s">
        <v>2417</v>
      </c>
      <c r="C368" s="2" t="s">
        <v>1047</v>
      </c>
      <c r="D368" s="2" t="s">
        <v>1031</v>
      </c>
      <c r="E368" s="1">
        <v>0</v>
      </c>
      <c r="F368" s="2" t="s">
        <v>2418</v>
      </c>
      <c r="G368" s="2" t="s">
        <v>2419</v>
      </c>
      <c r="H368" s="2" t="s">
        <v>31</v>
      </c>
      <c r="I368" s="2" t="s">
        <v>1040</v>
      </c>
      <c r="J368" s="2" t="s">
        <v>31</v>
      </c>
      <c r="K368" s="10" t="s">
        <v>31</v>
      </c>
      <c r="L368" s="2" t="s">
        <v>555</v>
      </c>
      <c r="M368" s="2" t="s">
        <v>31</v>
      </c>
      <c r="N368" s="2" t="s">
        <v>443</v>
      </c>
      <c r="O368" s="2" t="s">
        <v>31</v>
      </c>
      <c r="P368" s="2" t="s">
        <v>556</v>
      </c>
      <c r="Q368" s="2" t="s">
        <v>86</v>
      </c>
      <c r="R368" s="2" t="s">
        <v>48</v>
      </c>
      <c r="S368" s="2" t="s">
        <v>31</v>
      </c>
      <c r="T368" s="2" t="s">
        <v>445</v>
      </c>
      <c r="U368" s="2">
        <v>40320</v>
      </c>
      <c r="V368" s="10">
        <v>1940</v>
      </c>
      <c r="W368" s="10">
        <v>73048.98</v>
      </c>
      <c r="X368" s="11">
        <v>7</v>
      </c>
      <c r="Y368" s="11">
        <v>0</v>
      </c>
      <c r="Z368" s="2" t="s">
        <v>1036</v>
      </c>
      <c r="AA368" s="2" t="s">
        <v>2420</v>
      </c>
      <c r="AB368" s="3">
        <v>38666</v>
      </c>
      <c r="AC368" s="2">
        <v>6412500</v>
      </c>
      <c r="AD368" s="2" t="s">
        <v>39</v>
      </c>
      <c r="AE368" s="2">
        <v>0</v>
      </c>
      <c r="AF368" s="4">
        <v>30324200</v>
      </c>
      <c r="AG368" s="8">
        <v>125912.19</v>
      </c>
      <c r="AH368" s="8">
        <f t="shared" si="20"/>
        <v>135368.195469</v>
      </c>
      <c r="AI368" s="8">
        <f t="shared" si="21"/>
        <v>9456.0054689999961</v>
      </c>
      <c r="AJ368" s="8">
        <f t="shared" si="22"/>
        <v>132724.039479</v>
      </c>
      <c r="AK368" s="8">
        <f t="shared" si="23"/>
        <v>6811.8494789999968</v>
      </c>
    </row>
    <row r="369" spans="1:37" x14ac:dyDescent="0.3">
      <c r="A369" s="1">
        <v>385</v>
      </c>
      <c r="B369" s="2" t="s">
        <v>2421</v>
      </c>
      <c r="C369" s="2" t="s">
        <v>63</v>
      </c>
      <c r="D369" s="2" t="s">
        <v>1031</v>
      </c>
      <c r="E369" s="1">
        <v>0</v>
      </c>
      <c r="F369" s="2" t="s">
        <v>2422</v>
      </c>
      <c r="G369" s="2" t="s">
        <v>2423</v>
      </c>
      <c r="H369" s="2" t="s">
        <v>31</v>
      </c>
      <c r="I369" s="2" t="s">
        <v>1040</v>
      </c>
      <c r="J369" s="2" t="s">
        <v>31</v>
      </c>
      <c r="K369" s="10" t="s">
        <v>31</v>
      </c>
      <c r="L369" s="2" t="s">
        <v>2424</v>
      </c>
      <c r="M369" s="2" t="s">
        <v>31</v>
      </c>
      <c r="N369" s="2" t="s">
        <v>31</v>
      </c>
      <c r="O369" s="2" t="s">
        <v>31</v>
      </c>
      <c r="P369" s="2" t="s">
        <v>2425</v>
      </c>
      <c r="Q369" s="2" t="s">
        <v>2426</v>
      </c>
      <c r="R369" s="2" t="s">
        <v>48</v>
      </c>
      <c r="S369" s="2" t="s">
        <v>31</v>
      </c>
      <c r="T369" s="2" t="s">
        <v>2427</v>
      </c>
      <c r="U369" s="2">
        <v>31435</v>
      </c>
      <c r="V369" s="10">
        <v>1900</v>
      </c>
      <c r="W369" s="10">
        <v>44866</v>
      </c>
      <c r="X369" s="11">
        <v>6</v>
      </c>
      <c r="Y369" s="11">
        <v>0</v>
      </c>
      <c r="Z369" s="2" t="s">
        <v>1036</v>
      </c>
      <c r="AA369" s="2" t="s">
        <v>2428</v>
      </c>
      <c r="AB369" s="3">
        <v>43938</v>
      </c>
      <c r="AC369" s="2">
        <v>19000000</v>
      </c>
      <c r="AD369" s="2" t="s">
        <v>39</v>
      </c>
      <c r="AE369" s="2">
        <v>0</v>
      </c>
      <c r="AF369" s="4">
        <v>14574500</v>
      </c>
      <c r="AG369" s="8">
        <v>250098.42</v>
      </c>
      <c r="AH369" s="8">
        <f t="shared" si="20"/>
        <v>268880.81134199997</v>
      </c>
      <c r="AI369" s="8">
        <f t="shared" si="21"/>
        <v>18782.391341999959</v>
      </c>
      <c r="AJ369" s="8">
        <f t="shared" si="22"/>
        <v>263628.74452200002</v>
      </c>
      <c r="AK369" s="8">
        <f t="shared" si="23"/>
        <v>13530.32452200001</v>
      </c>
    </row>
    <row r="370" spans="1:37" x14ac:dyDescent="0.3">
      <c r="A370" s="1">
        <v>386</v>
      </c>
      <c r="B370" s="2" t="s">
        <v>2429</v>
      </c>
      <c r="C370" s="2" t="s">
        <v>63</v>
      </c>
      <c r="D370" s="2" t="s">
        <v>1031</v>
      </c>
      <c r="E370" s="1">
        <v>0</v>
      </c>
      <c r="F370" s="2" t="s">
        <v>2430</v>
      </c>
      <c r="G370" s="2" t="s">
        <v>2431</v>
      </c>
      <c r="H370" s="2" t="s">
        <v>31</v>
      </c>
      <c r="I370" s="2" t="s">
        <v>1040</v>
      </c>
      <c r="J370" s="2" t="s">
        <v>31</v>
      </c>
      <c r="K370" s="10" t="s">
        <v>31</v>
      </c>
      <c r="L370" s="2" t="s">
        <v>2432</v>
      </c>
      <c r="M370" s="2" t="s">
        <v>2433</v>
      </c>
      <c r="N370" s="2" t="s">
        <v>2434</v>
      </c>
      <c r="O370" s="2" t="s">
        <v>31</v>
      </c>
      <c r="P370" s="2" t="s">
        <v>2435</v>
      </c>
      <c r="Q370" s="2" t="s">
        <v>2426</v>
      </c>
      <c r="R370" s="2" t="s">
        <v>48</v>
      </c>
      <c r="S370" s="2" t="s">
        <v>31</v>
      </c>
      <c r="T370" s="2" t="s">
        <v>2427</v>
      </c>
      <c r="U370" s="2">
        <v>44421</v>
      </c>
      <c r="V370" s="10">
        <v>1948</v>
      </c>
      <c r="W370" s="10">
        <v>56681.2</v>
      </c>
      <c r="X370" s="11">
        <v>7</v>
      </c>
      <c r="Y370" s="11">
        <v>0</v>
      </c>
      <c r="Z370" s="2" t="s">
        <v>1036</v>
      </c>
      <c r="AA370" s="2" t="s">
        <v>2436</v>
      </c>
      <c r="AB370" s="3">
        <v>29621</v>
      </c>
      <c r="AC370" s="2">
        <v>650000</v>
      </c>
      <c r="AD370" s="2" t="s">
        <v>39</v>
      </c>
      <c r="AE370" s="2">
        <v>0</v>
      </c>
      <c r="AF370" s="4">
        <v>20702200</v>
      </c>
      <c r="AG370" s="8">
        <v>355249.75</v>
      </c>
      <c r="AH370" s="8">
        <f t="shared" si="20"/>
        <v>381929.00622499996</v>
      </c>
      <c r="AI370" s="8">
        <f t="shared" si="21"/>
        <v>26679.256224999961</v>
      </c>
      <c r="AJ370" s="8">
        <f t="shared" si="22"/>
        <v>374468.76147500001</v>
      </c>
      <c r="AK370" s="8">
        <f t="shared" si="23"/>
        <v>19219.011475000007</v>
      </c>
    </row>
    <row r="371" spans="1:37" x14ac:dyDescent="0.3">
      <c r="A371" s="1">
        <v>387</v>
      </c>
      <c r="B371" s="2" t="s">
        <v>2437</v>
      </c>
      <c r="C371" s="2" t="s">
        <v>1047</v>
      </c>
      <c r="D371" s="2" t="s">
        <v>1031</v>
      </c>
      <c r="E371" s="1">
        <v>0</v>
      </c>
      <c r="F371" s="2" t="s">
        <v>2438</v>
      </c>
      <c r="G371" s="2" t="s">
        <v>2439</v>
      </c>
      <c r="H371" s="2" t="s">
        <v>31</v>
      </c>
      <c r="I371" s="2" t="s">
        <v>1040</v>
      </c>
      <c r="J371" s="2" t="s">
        <v>31</v>
      </c>
      <c r="K371" s="10" t="s">
        <v>31</v>
      </c>
      <c r="L371" s="2" t="s">
        <v>2440</v>
      </c>
      <c r="M371" s="2" t="s">
        <v>2441</v>
      </c>
      <c r="N371" s="2" t="s">
        <v>2442</v>
      </c>
      <c r="O371" s="2" t="s">
        <v>31</v>
      </c>
      <c r="P371" s="2" t="s">
        <v>2443</v>
      </c>
      <c r="Q371" s="2" t="s">
        <v>86</v>
      </c>
      <c r="R371" s="2" t="s">
        <v>48</v>
      </c>
      <c r="S371" s="2" t="s">
        <v>31</v>
      </c>
      <c r="T371" s="2" t="s">
        <v>445</v>
      </c>
      <c r="U371" s="2">
        <v>33134</v>
      </c>
      <c r="V371" s="10">
        <v>1989</v>
      </c>
      <c r="W371" s="10">
        <v>67902</v>
      </c>
      <c r="X371" s="11">
        <v>3</v>
      </c>
      <c r="Y371" s="11">
        <v>0</v>
      </c>
      <c r="Z371" s="2" t="s">
        <v>1036</v>
      </c>
      <c r="AA371" s="2" t="s">
        <v>2444</v>
      </c>
      <c r="AB371" s="3">
        <v>32204</v>
      </c>
      <c r="AC371" s="2">
        <v>2700000</v>
      </c>
      <c r="AD371" s="2" t="s">
        <v>39</v>
      </c>
      <c r="AE371" s="2">
        <v>0</v>
      </c>
      <c r="AF371" s="4">
        <v>27830300</v>
      </c>
      <c r="AG371" s="8">
        <v>76380.81</v>
      </c>
      <c r="AH371" s="8">
        <f t="shared" si="20"/>
        <v>82117.008830999999</v>
      </c>
      <c r="AI371" s="8">
        <f t="shared" si="21"/>
        <v>5736.1988310000015</v>
      </c>
      <c r="AJ371" s="8">
        <f t="shared" si="22"/>
        <v>80513.011821000007</v>
      </c>
      <c r="AK371" s="8">
        <f t="shared" si="23"/>
        <v>4132.2018210000097</v>
      </c>
    </row>
    <row r="372" spans="1:37" x14ac:dyDescent="0.3">
      <c r="A372" s="1">
        <v>388</v>
      </c>
      <c r="B372" s="2" t="s">
        <v>2445</v>
      </c>
      <c r="C372" s="2" t="s">
        <v>52</v>
      </c>
      <c r="D372" s="2" t="s">
        <v>1031</v>
      </c>
      <c r="E372" s="1">
        <v>0</v>
      </c>
      <c r="F372" s="2" t="s">
        <v>2446</v>
      </c>
      <c r="G372" s="2" t="s">
        <v>2447</v>
      </c>
      <c r="H372" s="2" t="s">
        <v>31</v>
      </c>
      <c r="I372" s="2" t="s">
        <v>2325</v>
      </c>
      <c r="J372" s="2" t="s">
        <v>31</v>
      </c>
      <c r="K372" s="10" t="s">
        <v>31</v>
      </c>
      <c r="L372" s="2" t="s">
        <v>2448</v>
      </c>
      <c r="M372" s="2" t="s">
        <v>31</v>
      </c>
      <c r="N372" s="2" t="s">
        <v>31</v>
      </c>
      <c r="O372" s="2" t="s">
        <v>31</v>
      </c>
      <c r="P372" s="2" t="s">
        <v>2449</v>
      </c>
      <c r="Q372" s="2" t="s">
        <v>59</v>
      </c>
      <c r="R372" s="2" t="s">
        <v>48</v>
      </c>
      <c r="S372" s="2" t="s">
        <v>31</v>
      </c>
      <c r="T372" s="2" t="s">
        <v>60</v>
      </c>
      <c r="U372" s="2">
        <v>13572</v>
      </c>
      <c r="V372" s="10">
        <v>1910</v>
      </c>
      <c r="W372" s="10">
        <v>15713.36</v>
      </c>
      <c r="X372" s="11">
        <v>1</v>
      </c>
      <c r="Y372" s="11">
        <v>0</v>
      </c>
      <c r="Z372" s="2" t="s">
        <v>1036</v>
      </c>
      <c r="AA372" s="2" t="s">
        <v>2450</v>
      </c>
      <c r="AB372" s="3">
        <v>33011</v>
      </c>
      <c r="AC372" s="2">
        <v>900000</v>
      </c>
      <c r="AD372" s="2" t="s">
        <v>39</v>
      </c>
      <c r="AE372" s="2">
        <v>0</v>
      </c>
      <c r="AF372" s="4">
        <v>5402200</v>
      </c>
      <c r="AG372" s="8">
        <v>92701.75</v>
      </c>
      <c r="AH372" s="8">
        <f t="shared" si="20"/>
        <v>99663.651424999989</v>
      </c>
      <c r="AI372" s="8">
        <f t="shared" si="21"/>
        <v>6961.9014249999891</v>
      </c>
      <c r="AJ372" s="8">
        <f t="shared" si="22"/>
        <v>97716.914675000007</v>
      </c>
      <c r="AK372" s="8">
        <f t="shared" si="23"/>
        <v>5015.1646750000073</v>
      </c>
    </row>
    <row r="373" spans="1:37" x14ac:dyDescent="0.3">
      <c r="A373" s="1">
        <v>18891</v>
      </c>
      <c r="B373" s="2" t="s">
        <v>2765</v>
      </c>
      <c r="C373" s="2" t="s">
        <v>1047</v>
      </c>
      <c r="D373" s="2" t="s">
        <v>1031</v>
      </c>
      <c r="E373" s="1">
        <v>0</v>
      </c>
      <c r="F373" s="2" t="s">
        <v>2766</v>
      </c>
      <c r="G373" s="2" t="s">
        <v>1106</v>
      </c>
      <c r="H373" s="2" t="s">
        <v>31</v>
      </c>
      <c r="I373" s="2" t="s">
        <v>1040</v>
      </c>
      <c r="J373" s="2" t="s">
        <v>31</v>
      </c>
      <c r="K373" s="10" t="s">
        <v>31</v>
      </c>
      <c r="L373" s="2" t="s">
        <v>2440</v>
      </c>
      <c r="M373" s="2" t="s">
        <v>2441</v>
      </c>
      <c r="N373" s="2" t="s">
        <v>2442</v>
      </c>
      <c r="O373" s="2" t="s">
        <v>31</v>
      </c>
      <c r="P373" s="2" t="s">
        <v>2767</v>
      </c>
      <c r="Q373" s="2" t="s">
        <v>86</v>
      </c>
      <c r="R373" s="2" t="s">
        <v>48</v>
      </c>
      <c r="S373" s="2" t="s">
        <v>31</v>
      </c>
      <c r="T373" s="2" t="s">
        <v>445</v>
      </c>
      <c r="U373" s="2">
        <v>60834</v>
      </c>
      <c r="V373" s="10">
        <v>1940</v>
      </c>
      <c r="W373" s="10">
        <v>140135.79999999999</v>
      </c>
      <c r="X373" s="11">
        <v>14</v>
      </c>
      <c r="Y373" s="11">
        <v>0</v>
      </c>
      <c r="Z373" s="2" t="s">
        <v>1036</v>
      </c>
      <c r="AA373" s="2" t="s">
        <v>2470</v>
      </c>
      <c r="AB373" s="3">
        <v>32231</v>
      </c>
      <c r="AC373" s="2">
        <v>4275000</v>
      </c>
      <c r="AD373" s="2" t="s">
        <v>39</v>
      </c>
      <c r="AE373" s="2">
        <v>0</v>
      </c>
      <c r="AF373" s="4">
        <v>48318400</v>
      </c>
      <c r="AG373" s="8">
        <v>82734.539999999994</v>
      </c>
      <c r="AH373" s="8">
        <f t="shared" si="20"/>
        <v>88947.903953999994</v>
      </c>
      <c r="AI373" s="8">
        <f t="shared" si="21"/>
        <v>6213.3639540000004</v>
      </c>
      <c r="AJ373" s="8">
        <f t="shared" si="22"/>
        <v>87210.478613999992</v>
      </c>
      <c r="AK373" s="8">
        <f t="shared" si="23"/>
        <v>4475.9386139999988</v>
      </c>
    </row>
    <row r="374" spans="1:37" x14ac:dyDescent="0.3">
      <c r="A374" s="1">
        <v>391</v>
      </c>
      <c r="B374" s="2" t="s">
        <v>2451</v>
      </c>
      <c r="C374" s="2" t="s">
        <v>898</v>
      </c>
      <c r="D374" s="2" t="s">
        <v>1031</v>
      </c>
      <c r="E374" s="1">
        <v>0</v>
      </c>
      <c r="F374" s="2" t="s">
        <v>2452</v>
      </c>
      <c r="G374" s="2" t="s">
        <v>2453</v>
      </c>
      <c r="H374" s="2" t="s">
        <v>31</v>
      </c>
      <c r="I374" s="2" t="s">
        <v>1040</v>
      </c>
      <c r="J374" s="2" t="s">
        <v>31</v>
      </c>
      <c r="K374" s="10" t="s">
        <v>31</v>
      </c>
      <c r="L374" s="2" t="s">
        <v>555</v>
      </c>
      <c r="M374" s="2" t="s">
        <v>31</v>
      </c>
      <c r="N374" s="2" t="s">
        <v>443</v>
      </c>
      <c r="O374" s="2" t="s">
        <v>31</v>
      </c>
      <c r="P374" s="2" t="s">
        <v>556</v>
      </c>
      <c r="Q374" s="2" t="s">
        <v>86</v>
      </c>
      <c r="R374" s="2" t="s">
        <v>48</v>
      </c>
      <c r="S374" s="2" t="s">
        <v>31</v>
      </c>
      <c r="T374" s="2" t="s">
        <v>445</v>
      </c>
      <c r="U374" s="2">
        <v>9885</v>
      </c>
      <c r="V374" s="10">
        <v>1940</v>
      </c>
      <c r="W374" s="10">
        <v>27536</v>
      </c>
      <c r="X374" s="11">
        <v>1</v>
      </c>
      <c r="Y374" s="11">
        <v>0</v>
      </c>
      <c r="Z374" s="2" t="s">
        <v>1036</v>
      </c>
      <c r="AA374" s="2" t="s">
        <v>2454</v>
      </c>
      <c r="AB374" s="3">
        <v>38666</v>
      </c>
      <c r="AC374" s="2">
        <v>4532400</v>
      </c>
      <c r="AD374" s="2" t="s">
        <v>39</v>
      </c>
      <c r="AE374" s="2">
        <v>0</v>
      </c>
      <c r="AF374" s="4">
        <v>14069300</v>
      </c>
      <c r="AG374" s="8">
        <v>0</v>
      </c>
      <c r="AH374" s="8">
        <f t="shared" si="20"/>
        <v>0</v>
      </c>
      <c r="AI374" s="8">
        <f t="shared" si="21"/>
        <v>0</v>
      </c>
      <c r="AJ374" s="8">
        <f t="shared" si="22"/>
        <v>0</v>
      </c>
      <c r="AK374" s="8">
        <f t="shared" si="23"/>
        <v>0</v>
      </c>
    </row>
    <row r="375" spans="1:37" x14ac:dyDescent="0.3">
      <c r="A375" s="1">
        <v>392</v>
      </c>
      <c r="B375" s="2" t="s">
        <v>2455</v>
      </c>
      <c r="C375" s="2" t="s">
        <v>2392</v>
      </c>
      <c r="D375" s="2" t="s">
        <v>1031</v>
      </c>
      <c r="E375" s="1">
        <v>0</v>
      </c>
      <c r="F375" s="2" t="s">
        <v>2456</v>
      </c>
      <c r="G375" s="2" t="s">
        <v>2457</v>
      </c>
      <c r="H375" s="2" t="s">
        <v>31</v>
      </c>
      <c r="I375" s="2" t="s">
        <v>1040</v>
      </c>
      <c r="J375" s="2" t="s">
        <v>31</v>
      </c>
      <c r="K375" s="10" t="s">
        <v>31</v>
      </c>
      <c r="L375" s="2" t="s">
        <v>2440</v>
      </c>
      <c r="M375" s="2" t="s">
        <v>2458</v>
      </c>
      <c r="N375" s="2" t="s">
        <v>2442</v>
      </c>
      <c r="O375" s="2" t="s">
        <v>31</v>
      </c>
      <c r="P375" s="2" t="s">
        <v>2459</v>
      </c>
      <c r="Q375" s="2" t="s">
        <v>86</v>
      </c>
      <c r="R375" s="2" t="s">
        <v>48</v>
      </c>
      <c r="S375" s="2" t="s">
        <v>31</v>
      </c>
      <c r="T375" s="2" t="s">
        <v>445</v>
      </c>
      <c r="U375" s="2">
        <v>19440</v>
      </c>
      <c r="V375" s="10">
        <v>1940</v>
      </c>
      <c r="W375" s="10">
        <v>34809.75</v>
      </c>
      <c r="X375" s="11">
        <v>5</v>
      </c>
      <c r="Y375" s="11">
        <v>0</v>
      </c>
      <c r="Z375" s="2" t="s">
        <v>1036</v>
      </c>
      <c r="AA375" s="2" t="s">
        <v>2460</v>
      </c>
      <c r="AB375" s="3">
        <v>32688</v>
      </c>
      <c r="AC375" s="2">
        <v>3000000</v>
      </c>
      <c r="AD375" s="2" t="s">
        <v>39</v>
      </c>
      <c r="AE375" s="2">
        <v>0</v>
      </c>
      <c r="AF375" s="4">
        <v>16259600</v>
      </c>
      <c r="AG375" s="8">
        <v>242817.07</v>
      </c>
      <c r="AH375" s="8">
        <f t="shared" si="20"/>
        <v>261052.63195700001</v>
      </c>
      <c r="AI375" s="8">
        <f t="shared" si="21"/>
        <v>18235.561956999998</v>
      </c>
      <c r="AJ375" s="8">
        <f t="shared" si="22"/>
        <v>255953.47348700001</v>
      </c>
      <c r="AK375" s="8">
        <f t="shared" si="23"/>
        <v>13136.403487000003</v>
      </c>
    </row>
    <row r="376" spans="1:37" x14ac:dyDescent="0.3">
      <c r="A376" s="1">
        <v>393</v>
      </c>
      <c r="B376" s="2" t="s">
        <v>2461</v>
      </c>
      <c r="C376" s="2" t="s">
        <v>898</v>
      </c>
      <c r="D376" s="2" t="s">
        <v>1031</v>
      </c>
      <c r="E376" s="1">
        <v>0</v>
      </c>
      <c r="F376" s="2" t="s">
        <v>2462</v>
      </c>
      <c r="G376" s="2" t="s">
        <v>2463</v>
      </c>
      <c r="H376" s="2" t="s">
        <v>31</v>
      </c>
      <c r="I376" s="2" t="s">
        <v>1040</v>
      </c>
      <c r="J376" s="2" t="s">
        <v>31</v>
      </c>
      <c r="K376" s="10" t="s">
        <v>31</v>
      </c>
      <c r="L376" s="2" t="s">
        <v>555</v>
      </c>
      <c r="M376" s="2" t="s">
        <v>31</v>
      </c>
      <c r="N376" s="2" t="s">
        <v>2259</v>
      </c>
      <c r="O376" s="2" t="s">
        <v>31</v>
      </c>
      <c r="P376" s="2" t="s">
        <v>556</v>
      </c>
      <c r="Q376" s="2" t="s">
        <v>86</v>
      </c>
      <c r="R376" s="2" t="s">
        <v>48</v>
      </c>
      <c r="S376" s="2" t="s">
        <v>31</v>
      </c>
      <c r="T376" s="2" t="s">
        <v>445</v>
      </c>
      <c r="U376" s="2">
        <v>13491</v>
      </c>
      <c r="V376" s="10">
        <v>1950</v>
      </c>
      <c r="W376" s="10">
        <v>33480</v>
      </c>
      <c r="X376" s="11">
        <v>1</v>
      </c>
      <c r="Y376" s="11">
        <v>0</v>
      </c>
      <c r="Z376" s="2" t="s">
        <v>1036</v>
      </c>
      <c r="AA376" s="2" t="s">
        <v>2464</v>
      </c>
      <c r="AB376" s="3">
        <v>41334</v>
      </c>
      <c r="AC376" s="2">
        <v>5000000</v>
      </c>
      <c r="AD376" s="2" t="s">
        <v>39</v>
      </c>
      <c r="AE376" s="2">
        <v>0</v>
      </c>
      <c r="AF376" s="4">
        <v>7511800</v>
      </c>
      <c r="AG376" s="8">
        <v>0</v>
      </c>
      <c r="AH376" s="8">
        <f t="shared" si="20"/>
        <v>0</v>
      </c>
      <c r="AI376" s="8">
        <f t="shared" si="21"/>
        <v>0</v>
      </c>
      <c r="AJ376" s="8">
        <f t="shared" si="22"/>
        <v>0</v>
      </c>
      <c r="AK376" s="8">
        <f t="shared" si="23"/>
        <v>0</v>
      </c>
    </row>
    <row r="377" spans="1:37" x14ac:dyDescent="0.3">
      <c r="A377" s="1">
        <v>394</v>
      </c>
      <c r="B377" s="2" t="s">
        <v>2465</v>
      </c>
      <c r="C377" s="2" t="s">
        <v>2466</v>
      </c>
      <c r="D377" s="2" t="s">
        <v>1031</v>
      </c>
      <c r="E377" s="1">
        <v>0</v>
      </c>
      <c r="F377" s="2" t="s">
        <v>2467</v>
      </c>
      <c r="G377" s="2" t="s">
        <v>655</v>
      </c>
      <c r="H377" s="2" t="s">
        <v>31</v>
      </c>
      <c r="I377" s="2" t="s">
        <v>2325</v>
      </c>
      <c r="J377" s="2" t="s">
        <v>31</v>
      </c>
      <c r="K377" s="10" t="s">
        <v>31</v>
      </c>
      <c r="L377" s="2" t="s">
        <v>2468</v>
      </c>
      <c r="M377" s="2" t="s">
        <v>2469</v>
      </c>
      <c r="N377" s="2" t="s">
        <v>2442</v>
      </c>
      <c r="O377" s="2" t="s">
        <v>31</v>
      </c>
      <c r="P377" s="2" t="s">
        <v>2459</v>
      </c>
      <c r="Q377" s="2" t="s">
        <v>86</v>
      </c>
      <c r="R377" s="2" t="s">
        <v>48</v>
      </c>
      <c r="S377" s="2" t="s">
        <v>31</v>
      </c>
      <c r="T377" s="2" t="s">
        <v>445</v>
      </c>
      <c r="U377" s="2">
        <v>14880</v>
      </c>
      <c r="V377" s="10">
        <v>1990</v>
      </c>
      <c r="W377" s="10">
        <v>0</v>
      </c>
      <c r="X377" s="11">
        <v>1</v>
      </c>
      <c r="Y377" s="11">
        <v>0</v>
      </c>
      <c r="Z377" s="2" t="s">
        <v>1036</v>
      </c>
      <c r="AA377" s="2" t="s">
        <v>2470</v>
      </c>
      <c r="AB377" s="3">
        <v>32231</v>
      </c>
      <c r="AC377" s="2">
        <v>4275000</v>
      </c>
      <c r="AD377" s="2" t="s">
        <v>39</v>
      </c>
      <c r="AE377" s="2">
        <v>0</v>
      </c>
      <c r="AF377" s="4">
        <v>8990400</v>
      </c>
      <c r="AG377" s="8">
        <v>154275.26</v>
      </c>
      <c r="AH377" s="8">
        <f t="shared" si="20"/>
        <v>165861.33202599999</v>
      </c>
      <c r="AI377" s="8">
        <f t="shared" si="21"/>
        <v>11586.07202599998</v>
      </c>
      <c r="AJ377" s="8">
        <f t="shared" si="22"/>
        <v>162621.55156600001</v>
      </c>
      <c r="AK377" s="8">
        <f t="shared" si="23"/>
        <v>8346.2915659999999</v>
      </c>
    </row>
    <row r="378" spans="1:37" x14ac:dyDescent="0.3">
      <c r="A378" s="1">
        <v>396</v>
      </c>
      <c r="B378" s="2" t="s">
        <v>2471</v>
      </c>
      <c r="C378" s="2" t="s">
        <v>2472</v>
      </c>
      <c r="D378" s="2" t="s">
        <v>1031</v>
      </c>
      <c r="E378" s="1">
        <v>120</v>
      </c>
      <c r="F378" s="2" t="s">
        <v>2473</v>
      </c>
      <c r="G378" s="2" t="s">
        <v>2474</v>
      </c>
      <c r="H378" s="2" t="s">
        <v>31</v>
      </c>
      <c r="I378" s="2" t="s">
        <v>2475</v>
      </c>
      <c r="J378" s="2" t="s">
        <v>31</v>
      </c>
      <c r="K378" s="10" t="s">
        <v>31</v>
      </c>
      <c r="L378" s="2" t="s">
        <v>2476</v>
      </c>
      <c r="M378" s="2" t="s">
        <v>31</v>
      </c>
      <c r="N378" s="2" t="s">
        <v>31</v>
      </c>
      <c r="O378" s="2" t="s">
        <v>31</v>
      </c>
      <c r="P378" s="2" t="s">
        <v>2477</v>
      </c>
      <c r="Q378" s="2" t="s">
        <v>59</v>
      </c>
      <c r="R378" s="2" t="s">
        <v>48</v>
      </c>
      <c r="S378" s="2" t="s">
        <v>31</v>
      </c>
      <c r="T378" s="2" t="s">
        <v>60</v>
      </c>
      <c r="U378" s="2">
        <v>144700</v>
      </c>
      <c r="V378" s="10">
        <v>1949</v>
      </c>
      <c r="W378" s="10">
        <v>107066</v>
      </c>
      <c r="X378" s="11">
        <v>0</v>
      </c>
      <c r="Y378" s="11">
        <v>120</v>
      </c>
      <c r="Z378" s="2" t="s">
        <v>2479</v>
      </c>
      <c r="AA378" s="2" t="s">
        <v>2478</v>
      </c>
      <c r="AB378" s="3">
        <v>17943</v>
      </c>
      <c r="AC378" s="2">
        <v>1</v>
      </c>
      <c r="AD378" s="2" t="s">
        <v>39</v>
      </c>
      <c r="AE378" s="2">
        <v>0</v>
      </c>
      <c r="AF378" s="4">
        <v>26769800</v>
      </c>
      <c r="AG378" s="8">
        <v>0</v>
      </c>
      <c r="AH378" s="8">
        <f t="shared" si="20"/>
        <v>0</v>
      </c>
      <c r="AI378" s="8">
        <f t="shared" si="21"/>
        <v>0</v>
      </c>
      <c r="AJ378" s="8">
        <f t="shared" si="22"/>
        <v>0</v>
      </c>
      <c r="AK378" s="8">
        <f t="shared" si="23"/>
        <v>0</v>
      </c>
    </row>
    <row r="379" spans="1:37" x14ac:dyDescent="0.3">
      <c r="A379" s="1">
        <v>20840</v>
      </c>
      <c r="B379" s="2" t="s">
        <v>2775</v>
      </c>
      <c r="C379" s="2" t="s">
        <v>2472</v>
      </c>
      <c r="D379" s="2" t="s">
        <v>1031</v>
      </c>
      <c r="E379" s="1">
        <v>86</v>
      </c>
      <c r="F379" s="2" t="s">
        <v>2776</v>
      </c>
      <c r="G379" s="2" t="s">
        <v>2657</v>
      </c>
      <c r="H379" s="2" t="s">
        <v>31</v>
      </c>
      <c r="I379" s="2" t="s">
        <v>1944</v>
      </c>
      <c r="J379" s="2" t="s">
        <v>31</v>
      </c>
      <c r="K379" s="10" t="s">
        <v>31</v>
      </c>
      <c r="L379" s="2" t="s">
        <v>2476</v>
      </c>
      <c r="M379" s="2" t="s">
        <v>31</v>
      </c>
      <c r="N379" s="2" t="s">
        <v>31</v>
      </c>
      <c r="O379" s="2" t="s">
        <v>31</v>
      </c>
      <c r="P379" s="2" t="s">
        <v>2477</v>
      </c>
      <c r="Q379" s="2" t="s">
        <v>59</v>
      </c>
      <c r="R379" s="2" t="s">
        <v>48</v>
      </c>
      <c r="S379" s="2" t="s">
        <v>31</v>
      </c>
      <c r="T379" s="2" t="s">
        <v>60</v>
      </c>
      <c r="U379" s="2">
        <v>81113</v>
      </c>
      <c r="V379" s="10">
        <v>1920</v>
      </c>
      <c r="W379" s="10">
        <v>106983.32</v>
      </c>
      <c r="X379" s="11">
        <v>0</v>
      </c>
      <c r="Y379" s="11">
        <v>86</v>
      </c>
      <c r="Z379" s="2" t="s">
        <v>2479</v>
      </c>
      <c r="AA379" s="2" t="s">
        <v>2777</v>
      </c>
      <c r="AB379" s="3">
        <v>26911</v>
      </c>
      <c r="AC379" s="2">
        <v>1300000</v>
      </c>
      <c r="AD379" s="2" t="s">
        <v>39</v>
      </c>
      <c r="AE379" s="2">
        <v>0</v>
      </c>
      <c r="AF379" s="4">
        <v>21131700</v>
      </c>
      <c r="AG379" s="8">
        <v>0</v>
      </c>
      <c r="AH379" s="8">
        <f t="shared" si="20"/>
        <v>0</v>
      </c>
      <c r="AI379" s="8">
        <f t="shared" si="21"/>
        <v>0</v>
      </c>
      <c r="AJ379" s="8">
        <f t="shared" si="22"/>
        <v>0</v>
      </c>
      <c r="AK379" s="8">
        <f t="shared" si="23"/>
        <v>0</v>
      </c>
    </row>
    <row r="380" spans="1:37" x14ac:dyDescent="0.3">
      <c r="A380" s="1">
        <v>20841</v>
      </c>
      <c r="B380" s="2" t="s">
        <v>2778</v>
      </c>
      <c r="C380" s="2" t="s">
        <v>2472</v>
      </c>
      <c r="D380" s="2" t="s">
        <v>1031</v>
      </c>
      <c r="E380" s="1">
        <v>32</v>
      </c>
      <c r="F380" s="2" t="s">
        <v>2779</v>
      </c>
      <c r="G380" s="2" t="s">
        <v>2646</v>
      </c>
      <c r="H380" s="2" t="s">
        <v>31</v>
      </c>
      <c r="I380" s="2" t="s">
        <v>2325</v>
      </c>
      <c r="J380" s="2" t="s">
        <v>31</v>
      </c>
      <c r="K380" s="10" t="s">
        <v>31</v>
      </c>
      <c r="L380" s="2" t="s">
        <v>2780</v>
      </c>
      <c r="M380" s="2" t="s">
        <v>31</v>
      </c>
      <c r="N380" s="2" t="s">
        <v>2781</v>
      </c>
      <c r="O380" s="2" t="s">
        <v>31</v>
      </c>
      <c r="P380" s="2" t="s">
        <v>2477</v>
      </c>
      <c r="Q380" s="2" t="s">
        <v>59</v>
      </c>
      <c r="R380" s="2" t="s">
        <v>48</v>
      </c>
      <c r="S380" s="2" t="s">
        <v>31</v>
      </c>
      <c r="T380" s="2" t="s">
        <v>60</v>
      </c>
      <c r="U380" s="2">
        <v>42023</v>
      </c>
      <c r="V380" s="10">
        <v>2014</v>
      </c>
      <c r="W380" s="10">
        <v>35797</v>
      </c>
      <c r="X380" s="11">
        <v>0</v>
      </c>
      <c r="Y380" s="11">
        <v>32</v>
      </c>
      <c r="Z380" s="2" t="s">
        <v>2479</v>
      </c>
      <c r="AA380" s="2" t="s">
        <v>2777</v>
      </c>
      <c r="AB380" s="3">
        <v>26911</v>
      </c>
      <c r="AC380" s="2">
        <v>1300000</v>
      </c>
      <c r="AD380" s="2" t="s">
        <v>39</v>
      </c>
      <c r="AE380" s="2">
        <v>0</v>
      </c>
      <c r="AF380" s="4">
        <v>10295000</v>
      </c>
      <c r="AG380" s="8">
        <v>0</v>
      </c>
      <c r="AH380" s="8">
        <f t="shared" si="20"/>
        <v>0</v>
      </c>
      <c r="AI380" s="8">
        <f t="shared" si="21"/>
        <v>0</v>
      </c>
      <c r="AJ380" s="8">
        <f t="shared" si="22"/>
        <v>0</v>
      </c>
      <c r="AK380" s="8">
        <f t="shared" si="23"/>
        <v>0</v>
      </c>
    </row>
    <row r="381" spans="1:37" x14ac:dyDescent="0.3">
      <c r="A381" s="1">
        <v>399</v>
      </c>
      <c r="B381" s="2" t="s">
        <v>2480</v>
      </c>
      <c r="C381" s="2" t="s">
        <v>100</v>
      </c>
      <c r="D381" s="2" t="s">
        <v>1905</v>
      </c>
      <c r="E381" s="1">
        <v>1</v>
      </c>
      <c r="F381" s="2" t="s">
        <v>2481</v>
      </c>
      <c r="G381" s="2" t="s">
        <v>1115</v>
      </c>
      <c r="H381" s="2" t="s">
        <v>31</v>
      </c>
      <c r="I381" s="2" t="s">
        <v>2482</v>
      </c>
      <c r="J381" s="2" t="s">
        <v>2483</v>
      </c>
      <c r="K381" s="10" t="s">
        <v>2840</v>
      </c>
      <c r="L381" s="2" t="s">
        <v>2484</v>
      </c>
      <c r="M381" s="2" t="s">
        <v>958</v>
      </c>
      <c r="N381" s="2" t="s">
        <v>2485</v>
      </c>
      <c r="O381" s="2" t="s">
        <v>850</v>
      </c>
      <c r="P381" s="2" t="s">
        <v>2486</v>
      </c>
      <c r="Q381" s="2" t="s">
        <v>59</v>
      </c>
      <c r="R381" s="2" t="s">
        <v>48</v>
      </c>
      <c r="S381" s="2" t="s">
        <v>31</v>
      </c>
      <c r="T381" s="2" t="s">
        <v>60</v>
      </c>
      <c r="U381" s="2">
        <v>0</v>
      </c>
      <c r="V381" s="10">
        <v>1920</v>
      </c>
      <c r="W381" s="10">
        <v>1814</v>
      </c>
      <c r="X381" s="11">
        <v>0</v>
      </c>
      <c r="Y381" s="11">
        <v>1</v>
      </c>
      <c r="Z381" s="2" t="s">
        <v>31</v>
      </c>
      <c r="AA381" s="2" t="s">
        <v>2487</v>
      </c>
      <c r="AB381" s="3">
        <v>43889</v>
      </c>
      <c r="AC381" s="2">
        <v>1330000</v>
      </c>
      <c r="AD381" s="2" t="s">
        <v>107</v>
      </c>
      <c r="AE381" s="2">
        <v>2.61</v>
      </c>
      <c r="AF381" s="4">
        <v>1242700</v>
      </c>
      <c r="AG381" s="8">
        <v>9090.31</v>
      </c>
      <c r="AH381" s="8">
        <f t="shared" si="20"/>
        <v>9772.9922809999989</v>
      </c>
      <c r="AI381" s="8">
        <f t="shared" si="21"/>
        <v>682.68228099999942</v>
      </c>
      <c r="AJ381" s="8">
        <f t="shared" si="22"/>
        <v>9582.0957710000002</v>
      </c>
      <c r="AK381" s="8">
        <f t="shared" si="23"/>
        <v>491.78577100000075</v>
      </c>
    </row>
    <row r="382" spans="1:37" x14ac:dyDescent="0.3">
      <c r="A382" s="1">
        <v>400</v>
      </c>
      <c r="B382" s="2" t="s">
        <v>2488</v>
      </c>
      <c r="C382" s="2" t="s">
        <v>100</v>
      </c>
      <c r="D382" s="2" t="s">
        <v>1905</v>
      </c>
      <c r="E382" s="1">
        <v>1</v>
      </c>
      <c r="F382" s="2" t="s">
        <v>2489</v>
      </c>
      <c r="G382" s="2" t="s">
        <v>1115</v>
      </c>
      <c r="H382" s="2" t="s">
        <v>31</v>
      </c>
      <c r="I382" s="2" t="s">
        <v>2482</v>
      </c>
      <c r="J382" s="2" t="s">
        <v>2490</v>
      </c>
      <c r="K382" s="10" t="s">
        <v>2840</v>
      </c>
      <c r="L382" s="2" t="s">
        <v>2491</v>
      </c>
      <c r="M382" s="2" t="s">
        <v>2492</v>
      </c>
      <c r="N382" s="2" t="s">
        <v>2493</v>
      </c>
      <c r="O382" s="2" t="s">
        <v>2494</v>
      </c>
      <c r="P382" s="2" t="s">
        <v>2495</v>
      </c>
      <c r="Q382" s="2" t="s">
        <v>59</v>
      </c>
      <c r="R382" s="2" t="s">
        <v>48</v>
      </c>
      <c r="S382" s="2" t="s">
        <v>31</v>
      </c>
      <c r="T382" s="2" t="s">
        <v>60</v>
      </c>
      <c r="U382" s="2">
        <v>0</v>
      </c>
      <c r="V382" s="10">
        <v>1920</v>
      </c>
      <c r="W382" s="10">
        <v>1885</v>
      </c>
      <c r="X382" s="11">
        <v>0</v>
      </c>
      <c r="Y382" s="11">
        <v>1</v>
      </c>
      <c r="Z382" s="2" t="s">
        <v>31</v>
      </c>
      <c r="AA382" s="2" t="s">
        <v>2496</v>
      </c>
      <c r="AB382" s="3">
        <v>43489</v>
      </c>
      <c r="AC382" s="2">
        <v>1175000</v>
      </c>
      <c r="AD382" s="2" t="s">
        <v>107</v>
      </c>
      <c r="AE382" s="2">
        <v>2.71</v>
      </c>
      <c r="AF382" s="4">
        <v>1270700</v>
      </c>
      <c r="AG382" s="8">
        <v>9377.0300000000007</v>
      </c>
      <c r="AH382" s="8">
        <f t="shared" si="20"/>
        <v>10081.244952999999</v>
      </c>
      <c r="AI382" s="8">
        <f t="shared" si="21"/>
        <v>704.21495299999879</v>
      </c>
      <c r="AJ382" s="8">
        <f t="shared" si="22"/>
        <v>9884.3273230000013</v>
      </c>
      <c r="AK382" s="8">
        <f t="shared" si="23"/>
        <v>507.29732300000069</v>
      </c>
    </row>
    <row r="383" spans="1:37" x14ac:dyDescent="0.3">
      <c r="A383" s="1">
        <v>401</v>
      </c>
      <c r="B383" s="2" t="s">
        <v>2497</v>
      </c>
      <c r="C383" s="2" t="s">
        <v>100</v>
      </c>
      <c r="D383" s="2" t="s">
        <v>1905</v>
      </c>
      <c r="E383" s="1">
        <v>1</v>
      </c>
      <c r="F383" s="2" t="s">
        <v>2498</v>
      </c>
      <c r="G383" s="2" t="s">
        <v>1115</v>
      </c>
      <c r="H383" s="2" t="s">
        <v>31</v>
      </c>
      <c r="I383" s="2" t="s">
        <v>2482</v>
      </c>
      <c r="J383" s="2" t="s">
        <v>2499</v>
      </c>
      <c r="K383" s="10" t="s">
        <v>2840</v>
      </c>
      <c r="L383" s="2" t="s">
        <v>2500</v>
      </c>
      <c r="M383" s="2" t="s">
        <v>1719</v>
      </c>
      <c r="N383" s="2" t="s">
        <v>2501</v>
      </c>
      <c r="O383" s="2" t="s">
        <v>2502</v>
      </c>
      <c r="P383" s="2" t="s">
        <v>2503</v>
      </c>
      <c r="Q383" s="2" t="s">
        <v>59</v>
      </c>
      <c r="R383" s="2" t="s">
        <v>48</v>
      </c>
      <c r="S383" s="2" t="s">
        <v>31</v>
      </c>
      <c r="T383" s="2" t="s">
        <v>60</v>
      </c>
      <c r="U383" s="2">
        <v>0</v>
      </c>
      <c r="V383" s="10">
        <v>1920</v>
      </c>
      <c r="W383" s="10">
        <v>1885</v>
      </c>
      <c r="X383" s="11">
        <v>0</v>
      </c>
      <c r="Y383" s="11">
        <v>1</v>
      </c>
      <c r="Z383" s="2" t="s">
        <v>31</v>
      </c>
      <c r="AA383" s="2" t="s">
        <v>2504</v>
      </c>
      <c r="AB383" s="3">
        <v>42537</v>
      </c>
      <c r="AC383" s="2">
        <v>1275000</v>
      </c>
      <c r="AD383" s="2" t="s">
        <v>107</v>
      </c>
      <c r="AE383" s="2">
        <v>2.71</v>
      </c>
      <c r="AF383" s="4">
        <v>1270700</v>
      </c>
      <c r="AG383" s="8">
        <v>9377.0300000000007</v>
      </c>
      <c r="AH383" s="8">
        <f t="shared" si="20"/>
        <v>10081.244952999999</v>
      </c>
      <c r="AI383" s="8">
        <f t="shared" si="21"/>
        <v>704.21495299999879</v>
      </c>
      <c r="AJ383" s="8">
        <f t="shared" si="22"/>
        <v>9884.3273230000013</v>
      </c>
      <c r="AK383" s="8">
        <f t="shared" si="23"/>
        <v>507.29732300000069</v>
      </c>
    </row>
    <row r="384" spans="1:37" x14ac:dyDescent="0.3">
      <c r="A384" s="1">
        <v>402</v>
      </c>
      <c r="B384" s="2" t="s">
        <v>2505</v>
      </c>
      <c r="C384" s="2" t="s">
        <v>100</v>
      </c>
      <c r="D384" s="2" t="s">
        <v>1905</v>
      </c>
      <c r="E384" s="1">
        <v>1</v>
      </c>
      <c r="F384" s="2" t="s">
        <v>2506</v>
      </c>
      <c r="G384" s="2" t="s">
        <v>1115</v>
      </c>
      <c r="H384" s="2" t="s">
        <v>31</v>
      </c>
      <c r="I384" s="2" t="s">
        <v>2482</v>
      </c>
      <c r="J384" s="2" t="s">
        <v>2507</v>
      </c>
      <c r="K384" s="10" t="s">
        <v>2840</v>
      </c>
      <c r="L384" s="2" t="s">
        <v>232</v>
      </c>
      <c r="M384" s="2" t="s">
        <v>2508</v>
      </c>
      <c r="N384" s="2" t="s">
        <v>31</v>
      </c>
      <c r="O384" s="2" t="s">
        <v>31</v>
      </c>
      <c r="P384" s="2" t="s">
        <v>2509</v>
      </c>
      <c r="Q384" s="2" t="s">
        <v>59</v>
      </c>
      <c r="R384" s="2" t="s">
        <v>2510</v>
      </c>
      <c r="S384" s="2" t="s">
        <v>31</v>
      </c>
      <c r="T384" s="2" t="s">
        <v>60</v>
      </c>
      <c r="U384" s="2">
        <v>0</v>
      </c>
      <c r="V384" s="10">
        <v>1920</v>
      </c>
      <c r="W384" s="10">
        <v>1886</v>
      </c>
      <c r="X384" s="11">
        <v>0</v>
      </c>
      <c r="Y384" s="11">
        <v>1</v>
      </c>
      <c r="Z384" s="2" t="s">
        <v>31</v>
      </c>
      <c r="AA384" s="2" t="s">
        <v>2511</v>
      </c>
      <c r="AB384" s="3">
        <v>45069</v>
      </c>
      <c r="AC384" s="2">
        <v>10</v>
      </c>
      <c r="AD384" s="2" t="s">
        <v>39</v>
      </c>
      <c r="AE384" s="2">
        <v>2.71</v>
      </c>
      <c r="AF384" s="4">
        <v>1288200</v>
      </c>
      <c r="AG384" s="8">
        <v>13191.17</v>
      </c>
      <c r="AH384" s="8">
        <f t="shared" si="20"/>
        <v>14181.826867</v>
      </c>
      <c r="AI384" s="8">
        <f t="shared" si="21"/>
        <v>990.65686699999969</v>
      </c>
      <c r="AJ384" s="8">
        <f t="shared" si="22"/>
        <v>13904.812297</v>
      </c>
      <c r="AK384" s="8">
        <f t="shared" si="23"/>
        <v>713.64229700000033</v>
      </c>
    </row>
    <row r="385" spans="1:37" x14ac:dyDescent="0.3">
      <c r="A385" s="1">
        <v>403</v>
      </c>
      <c r="B385" s="2" t="s">
        <v>2512</v>
      </c>
      <c r="C385" s="2" t="s">
        <v>100</v>
      </c>
      <c r="D385" s="2" t="s">
        <v>1905</v>
      </c>
      <c r="E385" s="1">
        <v>1</v>
      </c>
      <c r="F385" s="2" t="s">
        <v>2513</v>
      </c>
      <c r="G385" s="2" t="s">
        <v>1115</v>
      </c>
      <c r="H385" s="2" t="s">
        <v>31</v>
      </c>
      <c r="I385" s="2" t="s">
        <v>2482</v>
      </c>
      <c r="J385" s="2" t="s">
        <v>2514</v>
      </c>
      <c r="K385" s="10" t="s">
        <v>2840</v>
      </c>
      <c r="L385" s="2" t="s">
        <v>1719</v>
      </c>
      <c r="M385" s="2" t="s">
        <v>2515</v>
      </c>
      <c r="N385" s="2" t="s">
        <v>2516</v>
      </c>
      <c r="O385" s="2" t="s">
        <v>2517</v>
      </c>
      <c r="P385" s="2" t="s">
        <v>2518</v>
      </c>
      <c r="Q385" s="2" t="s">
        <v>2519</v>
      </c>
      <c r="R385" s="2" t="s">
        <v>1742</v>
      </c>
      <c r="S385" s="2" t="s">
        <v>31</v>
      </c>
      <c r="T385" s="2" t="s">
        <v>2520</v>
      </c>
      <c r="U385" s="2">
        <v>0</v>
      </c>
      <c r="V385" s="10">
        <v>1920</v>
      </c>
      <c r="W385" s="10">
        <v>1957</v>
      </c>
      <c r="X385" s="11">
        <v>0</v>
      </c>
      <c r="Y385" s="11">
        <v>1</v>
      </c>
      <c r="Z385" s="2" t="s">
        <v>31</v>
      </c>
      <c r="AA385" s="2" t="s">
        <v>2521</v>
      </c>
      <c r="AB385" s="3">
        <v>41500</v>
      </c>
      <c r="AC385" s="2">
        <v>712500</v>
      </c>
      <c r="AD385" s="2" t="s">
        <v>39</v>
      </c>
      <c r="AE385" s="2">
        <v>2.82</v>
      </c>
      <c r="AF385" s="4">
        <v>1305700</v>
      </c>
      <c r="AG385" s="8">
        <v>13370.37</v>
      </c>
      <c r="AH385" s="8">
        <f t="shared" si="20"/>
        <v>14374.484786999999</v>
      </c>
      <c r="AI385" s="8">
        <f t="shared" si="21"/>
        <v>1004.1147869999986</v>
      </c>
      <c r="AJ385" s="8">
        <f t="shared" si="22"/>
        <v>14093.707017000001</v>
      </c>
      <c r="AK385" s="8">
        <f t="shared" si="23"/>
        <v>723.33701699999983</v>
      </c>
    </row>
    <row r="386" spans="1:37" x14ac:dyDescent="0.3">
      <c r="A386" s="1">
        <v>404</v>
      </c>
      <c r="B386" s="2" t="s">
        <v>2522</v>
      </c>
      <c r="C386" s="2" t="s">
        <v>100</v>
      </c>
      <c r="D386" s="2" t="s">
        <v>1905</v>
      </c>
      <c r="E386" s="1">
        <v>1</v>
      </c>
      <c r="F386" s="2" t="s">
        <v>2523</v>
      </c>
      <c r="G386" s="2" t="s">
        <v>1115</v>
      </c>
      <c r="H386" s="2" t="s">
        <v>31</v>
      </c>
      <c r="I386" s="2" t="s">
        <v>2482</v>
      </c>
      <c r="J386" s="2" t="s">
        <v>2524</v>
      </c>
      <c r="K386" s="10" t="s">
        <v>2840</v>
      </c>
      <c r="L386" s="2" t="s">
        <v>2525</v>
      </c>
      <c r="M386" s="2" t="s">
        <v>2526</v>
      </c>
      <c r="N386" s="2" t="s">
        <v>2527</v>
      </c>
      <c r="O386" s="2" t="s">
        <v>2528</v>
      </c>
      <c r="P386" s="2" t="s">
        <v>2529</v>
      </c>
      <c r="Q386" s="2" t="s">
        <v>59</v>
      </c>
      <c r="R386" s="2" t="s">
        <v>48</v>
      </c>
      <c r="S386" s="2" t="s">
        <v>31</v>
      </c>
      <c r="T386" s="2" t="s">
        <v>60</v>
      </c>
      <c r="U386" s="2">
        <v>0</v>
      </c>
      <c r="V386" s="10">
        <v>1920</v>
      </c>
      <c r="W386" s="10">
        <v>1957</v>
      </c>
      <c r="X386" s="11">
        <v>0</v>
      </c>
      <c r="Y386" s="11">
        <v>1</v>
      </c>
      <c r="Z386" s="2" t="s">
        <v>31</v>
      </c>
      <c r="AA386" s="2" t="s">
        <v>2530</v>
      </c>
      <c r="AB386" s="3">
        <v>42950</v>
      </c>
      <c r="AC386" s="2">
        <v>1350000</v>
      </c>
      <c r="AD386" s="2" t="s">
        <v>107</v>
      </c>
      <c r="AE386" s="2">
        <v>2.82</v>
      </c>
      <c r="AF386" s="4">
        <v>1305800</v>
      </c>
      <c r="AG386" s="8">
        <v>9736.4599999999991</v>
      </c>
      <c r="AH386" s="8">
        <f t="shared" si="20"/>
        <v>10467.668145999998</v>
      </c>
      <c r="AI386" s="8">
        <f t="shared" si="21"/>
        <v>731.20814599999903</v>
      </c>
      <c r="AJ386" s="8">
        <f t="shared" si="22"/>
        <v>10263.202486</v>
      </c>
      <c r="AK386" s="8">
        <f t="shared" si="23"/>
        <v>526.74248600000101</v>
      </c>
    </row>
    <row r="387" spans="1:37" x14ac:dyDescent="0.3">
      <c r="A387" s="1">
        <v>405</v>
      </c>
      <c r="B387" s="2" t="s">
        <v>2531</v>
      </c>
      <c r="C387" s="2" t="s">
        <v>100</v>
      </c>
      <c r="D387" s="2" t="s">
        <v>1905</v>
      </c>
      <c r="E387" s="1">
        <v>1</v>
      </c>
      <c r="F387" s="2" t="s">
        <v>2532</v>
      </c>
      <c r="G387" s="2" t="s">
        <v>2194</v>
      </c>
      <c r="H387" s="2" t="s">
        <v>31</v>
      </c>
      <c r="I387" s="2" t="s">
        <v>2482</v>
      </c>
      <c r="J387" s="2" t="s">
        <v>2533</v>
      </c>
      <c r="K387" s="10" t="s">
        <v>2840</v>
      </c>
      <c r="L387" s="2" t="s">
        <v>2534</v>
      </c>
      <c r="M387" s="2" t="s">
        <v>2535</v>
      </c>
      <c r="N387" s="2" t="s">
        <v>31</v>
      </c>
      <c r="O387" s="2" t="s">
        <v>31</v>
      </c>
      <c r="P387" s="2" t="s">
        <v>2536</v>
      </c>
      <c r="Q387" s="2" t="s">
        <v>59</v>
      </c>
      <c r="R387" s="2" t="s">
        <v>48</v>
      </c>
      <c r="S387" s="2" t="s">
        <v>31</v>
      </c>
      <c r="T387" s="2" t="s">
        <v>60</v>
      </c>
      <c r="U387" s="2">
        <v>0</v>
      </c>
      <c r="V387" s="10">
        <v>1920</v>
      </c>
      <c r="W387" s="10">
        <v>1814</v>
      </c>
      <c r="X387" s="11">
        <v>0</v>
      </c>
      <c r="Y387" s="11">
        <v>1</v>
      </c>
      <c r="Z387" s="2" t="s">
        <v>31</v>
      </c>
      <c r="AA387" s="2" t="s">
        <v>2537</v>
      </c>
      <c r="AB387" s="3">
        <v>42340</v>
      </c>
      <c r="AC387" s="2">
        <v>1</v>
      </c>
      <c r="AD387" s="2" t="s">
        <v>107</v>
      </c>
      <c r="AE387" s="2">
        <v>2.61</v>
      </c>
      <c r="AF387" s="4">
        <v>1212700</v>
      </c>
      <c r="AG387" s="8">
        <v>8783.11</v>
      </c>
      <c r="AH387" s="8">
        <f t="shared" ref="AH387:AH401" si="24">AG387*1.0751</f>
        <v>9442.7215610000003</v>
      </c>
      <c r="AI387" s="8">
        <f t="shared" ref="AI387:AI401" si="25">AH387-AG387</f>
        <v>659.61156099999971</v>
      </c>
      <c r="AJ387" s="8">
        <f t="shared" ref="AJ387:AJ401" si="26">AG387*1.0541</f>
        <v>9258.2762510000011</v>
      </c>
      <c r="AK387" s="8">
        <f t="shared" ref="AK387:AK401" si="27">AJ387-AG387</f>
        <v>475.16625100000056</v>
      </c>
    </row>
    <row r="388" spans="1:37" x14ac:dyDescent="0.3">
      <c r="A388" s="1">
        <v>406</v>
      </c>
      <c r="B388" s="2" t="s">
        <v>2538</v>
      </c>
      <c r="C388" s="2" t="s">
        <v>100</v>
      </c>
      <c r="D388" s="2" t="s">
        <v>1905</v>
      </c>
      <c r="E388" s="1">
        <v>1</v>
      </c>
      <c r="F388" s="2" t="s">
        <v>2539</v>
      </c>
      <c r="G388" s="2" t="s">
        <v>2194</v>
      </c>
      <c r="H388" s="2" t="s">
        <v>31</v>
      </c>
      <c r="I388" s="2" t="s">
        <v>2482</v>
      </c>
      <c r="J388" s="2" t="s">
        <v>2540</v>
      </c>
      <c r="K388" s="10" t="s">
        <v>2840</v>
      </c>
      <c r="L388" s="2" t="s">
        <v>2541</v>
      </c>
      <c r="M388" s="2" t="s">
        <v>2542</v>
      </c>
      <c r="N388" s="2" t="s">
        <v>31</v>
      </c>
      <c r="O388" s="2" t="s">
        <v>31</v>
      </c>
      <c r="P388" s="2" t="s">
        <v>2543</v>
      </c>
      <c r="Q388" s="2" t="s">
        <v>59</v>
      </c>
      <c r="R388" s="2" t="s">
        <v>48</v>
      </c>
      <c r="S388" s="2" t="s">
        <v>31</v>
      </c>
      <c r="T388" s="2" t="s">
        <v>60</v>
      </c>
      <c r="U388" s="2">
        <v>0</v>
      </c>
      <c r="V388" s="10">
        <v>1920</v>
      </c>
      <c r="W388" s="10">
        <v>1885</v>
      </c>
      <c r="X388" s="11">
        <v>0</v>
      </c>
      <c r="Y388" s="11">
        <v>1</v>
      </c>
      <c r="Z388" s="2" t="s">
        <v>31</v>
      </c>
      <c r="AA388" s="2" t="s">
        <v>2544</v>
      </c>
      <c r="AB388" s="3">
        <v>35160</v>
      </c>
      <c r="AC388" s="2">
        <v>244000</v>
      </c>
      <c r="AD388" s="2" t="s">
        <v>107</v>
      </c>
      <c r="AE388" s="2">
        <v>2.71</v>
      </c>
      <c r="AF388" s="4">
        <v>1224900</v>
      </c>
      <c r="AG388" s="8">
        <v>8908.0400000000009</v>
      </c>
      <c r="AH388" s="8">
        <f t="shared" si="24"/>
        <v>9577.0338040000006</v>
      </c>
      <c r="AI388" s="8">
        <f t="shared" si="25"/>
        <v>668.99380399999973</v>
      </c>
      <c r="AJ388" s="8">
        <f t="shared" si="26"/>
        <v>9389.9649640000007</v>
      </c>
      <c r="AK388" s="8">
        <f t="shared" si="27"/>
        <v>481.92496399999982</v>
      </c>
    </row>
    <row r="389" spans="1:37" x14ac:dyDescent="0.3">
      <c r="A389" s="1">
        <v>407</v>
      </c>
      <c r="B389" s="2" t="s">
        <v>2545</v>
      </c>
      <c r="C389" s="2" t="s">
        <v>100</v>
      </c>
      <c r="D389" s="2" t="s">
        <v>1905</v>
      </c>
      <c r="E389" s="1">
        <v>1</v>
      </c>
      <c r="F389" s="2" t="s">
        <v>2546</v>
      </c>
      <c r="G389" s="2" t="s">
        <v>2194</v>
      </c>
      <c r="H389" s="2" t="s">
        <v>31</v>
      </c>
      <c r="I389" s="2" t="s">
        <v>2482</v>
      </c>
      <c r="J389" s="2" t="s">
        <v>2547</v>
      </c>
      <c r="K389" s="10" t="s">
        <v>2840</v>
      </c>
      <c r="L389" s="2" t="s">
        <v>2548</v>
      </c>
      <c r="M389" s="2" t="s">
        <v>2549</v>
      </c>
      <c r="N389" s="2" t="s">
        <v>31</v>
      </c>
      <c r="O389" s="2" t="s">
        <v>31</v>
      </c>
      <c r="P389" s="2" t="s">
        <v>2550</v>
      </c>
      <c r="Q389" s="2" t="s">
        <v>59</v>
      </c>
      <c r="R389" s="2" t="s">
        <v>48</v>
      </c>
      <c r="S389" s="2" t="s">
        <v>31</v>
      </c>
      <c r="T389" s="2" t="s">
        <v>60</v>
      </c>
      <c r="U389" s="2">
        <v>0</v>
      </c>
      <c r="V389" s="10">
        <v>1920</v>
      </c>
      <c r="W389" s="10">
        <v>1885</v>
      </c>
      <c r="X389" s="11">
        <v>0</v>
      </c>
      <c r="Y389" s="11">
        <v>1</v>
      </c>
      <c r="Z389" s="2" t="s">
        <v>31</v>
      </c>
      <c r="AA389" s="2" t="s">
        <v>2551</v>
      </c>
      <c r="AB389" s="3">
        <v>41876</v>
      </c>
      <c r="AC389" s="2">
        <v>1</v>
      </c>
      <c r="AD389" s="2" t="s">
        <v>39</v>
      </c>
      <c r="AE389" s="2">
        <v>2.71</v>
      </c>
      <c r="AF389" s="4">
        <v>1270700</v>
      </c>
      <c r="AG389" s="8">
        <v>13011.97</v>
      </c>
      <c r="AH389" s="8">
        <f t="shared" si="24"/>
        <v>13989.168946999998</v>
      </c>
      <c r="AI389" s="8">
        <f t="shared" si="25"/>
        <v>977.19894699999895</v>
      </c>
      <c r="AJ389" s="8">
        <f t="shared" si="26"/>
        <v>13715.917577</v>
      </c>
      <c r="AK389" s="8">
        <f t="shared" si="27"/>
        <v>703.94757700000082</v>
      </c>
    </row>
    <row r="390" spans="1:37" x14ac:dyDescent="0.3">
      <c r="A390" s="1">
        <v>408</v>
      </c>
      <c r="B390" s="2" t="s">
        <v>2552</v>
      </c>
      <c r="C390" s="2" t="s">
        <v>100</v>
      </c>
      <c r="D390" s="2" t="s">
        <v>1905</v>
      </c>
      <c r="E390" s="1">
        <v>1</v>
      </c>
      <c r="F390" s="2" t="s">
        <v>2553</v>
      </c>
      <c r="G390" s="2" t="s">
        <v>2194</v>
      </c>
      <c r="H390" s="2" t="s">
        <v>31</v>
      </c>
      <c r="I390" s="2" t="s">
        <v>2482</v>
      </c>
      <c r="J390" s="2" t="s">
        <v>2554</v>
      </c>
      <c r="K390" s="10" t="s">
        <v>2840</v>
      </c>
      <c r="L390" s="2" t="s">
        <v>2555</v>
      </c>
      <c r="M390" s="2" t="s">
        <v>2556</v>
      </c>
      <c r="N390" s="2" t="s">
        <v>2557</v>
      </c>
      <c r="O390" s="2" t="s">
        <v>2558</v>
      </c>
      <c r="P390" s="2" t="s">
        <v>2559</v>
      </c>
      <c r="Q390" s="2" t="s">
        <v>59</v>
      </c>
      <c r="R390" s="2" t="s">
        <v>48</v>
      </c>
      <c r="S390" s="2" t="s">
        <v>31</v>
      </c>
      <c r="T390" s="2" t="s">
        <v>60</v>
      </c>
      <c r="U390" s="2">
        <v>0</v>
      </c>
      <c r="V390" s="10">
        <v>1920</v>
      </c>
      <c r="W390" s="10">
        <v>1814</v>
      </c>
      <c r="X390" s="11">
        <v>0</v>
      </c>
      <c r="Y390" s="11">
        <v>1</v>
      </c>
      <c r="Z390" s="2" t="s">
        <v>31</v>
      </c>
      <c r="AA390" s="2" t="s">
        <v>2560</v>
      </c>
      <c r="AB390" s="3">
        <v>40060</v>
      </c>
      <c r="AC390" s="2">
        <v>565000</v>
      </c>
      <c r="AD390" s="2" t="s">
        <v>107</v>
      </c>
      <c r="AE390" s="2">
        <v>2.61</v>
      </c>
      <c r="AF390" s="4">
        <v>1197000</v>
      </c>
      <c r="AG390" s="8">
        <v>8622.35</v>
      </c>
      <c r="AH390" s="8">
        <f t="shared" si="24"/>
        <v>9269.8884849999995</v>
      </c>
      <c r="AI390" s="8">
        <f t="shared" si="25"/>
        <v>647.53848499999913</v>
      </c>
      <c r="AJ390" s="8">
        <f t="shared" si="26"/>
        <v>9088.8191350000016</v>
      </c>
      <c r="AK390" s="8">
        <f t="shared" si="27"/>
        <v>466.46913500000119</v>
      </c>
    </row>
    <row r="391" spans="1:37" x14ac:dyDescent="0.3">
      <c r="A391" s="1">
        <v>409</v>
      </c>
      <c r="B391" s="2" t="s">
        <v>2561</v>
      </c>
      <c r="C391" s="2" t="s">
        <v>100</v>
      </c>
      <c r="D391" s="2" t="s">
        <v>1905</v>
      </c>
      <c r="E391" s="1">
        <v>1</v>
      </c>
      <c r="F391" s="2" t="s">
        <v>2562</v>
      </c>
      <c r="G391" s="2" t="s">
        <v>2194</v>
      </c>
      <c r="H391" s="2" t="s">
        <v>31</v>
      </c>
      <c r="I391" s="2" t="s">
        <v>2482</v>
      </c>
      <c r="J391" s="2" t="s">
        <v>2563</v>
      </c>
      <c r="K391" s="10" t="s">
        <v>2840</v>
      </c>
      <c r="L391" s="2" t="s">
        <v>2564</v>
      </c>
      <c r="M391" s="2" t="s">
        <v>2565</v>
      </c>
      <c r="N391" s="2" t="s">
        <v>31</v>
      </c>
      <c r="O391" s="2" t="s">
        <v>31</v>
      </c>
      <c r="P391" s="2" t="s">
        <v>2566</v>
      </c>
      <c r="Q391" s="2" t="s">
        <v>59</v>
      </c>
      <c r="R391" s="2" t="s">
        <v>48</v>
      </c>
      <c r="S391" s="2" t="s">
        <v>31</v>
      </c>
      <c r="T391" s="2" t="s">
        <v>60</v>
      </c>
      <c r="U391" s="2">
        <v>0</v>
      </c>
      <c r="V391" s="10">
        <v>1920</v>
      </c>
      <c r="W391" s="10">
        <v>1885</v>
      </c>
      <c r="X391" s="11">
        <v>0</v>
      </c>
      <c r="Y391" s="11">
        <v>1</v>
      </c>
      <c r="Z391" s="2" t="s">
        <v>31</v>
      </c>
      <c r="AA391" s="2" t="s">
        <v>2567</v>
      </c>
      <c r="AB391" s="3">
        <v>40547</v>
      </c>
      <c r="AC391" s="2">
        <v>100</v>
      </c>
      <c r="AD391" s="2" t="s">
        <v>107</v>
      </c>
      <c r="AE391" s="2">
        <v>2.71</v>
      </c>
      <c r="AF391" s="4">
        <v>1270700</v>
      </c>
      <c r="AG391" s="8">
        <v>9377.0300000000007</v>
      </c>
      <c r="AH391" s="8">
        <f t="shared" si="24"/>
        <v>10081.244952999999</v>
      </c>
      <c r="AI391" s="8">
        <f t="shared" si="25"/>
        <v>704.21495299999879</v>
      </c>
      <c r="AJ391" s="8">
        <f t="shared" si="26"/>
        <v>9884.3273230000013</v>
      </c>
      <c r="AK391" s="8">
        <f t="shared" si="27"/>
        <v>507.29732300000069</v>
      </c>
    </row>
    <row r="392" spans="1:37" x14ac:dyDescent="0.3">
      <c r="A392" s="1">
        <v>410</v>
      </c>
      <c r="B392" s="2" t="s">
        <v>2568</v>
      </c>
      <c r="C392" s="2" t="s">
        <v>100</v>
      </c>
      <c r="D392" s="2" t="s">
        <v>1905</v>
      </c>
      <c r="E392" s="1">
        <v>1</v>
      </c>
      <c r="F392" s="2" t="s">
        <v>2569</v>
      </c>
      <c r="G392" s="2" t="s">
        <v>2194</v>
      </c>
      <c r="H392" s="2" t="s">
        <v>31</v>
      </c>
      <c r="I392" s="2" t="s">
        <v>2482</v>
      </c>
      <c r="J392" s="2" t="s">
        <v>2570</v>
      </c>
      <c r="K392" s="10" t="s">
        <v>2840</v>
      </c>
      <c r="L392" s="2" t="s">
        <v>2571</v>
      </c>
      <c r="M392" s="2" t="s">
        <v>2572</v>
      </c>
      <c r="N392" s="2" t="s">
        <v>2573</v>
      </c>
      <c r="O392" s="2" t="s">
        <v>2574</v>
      </c>
      <c r="P392" s="2" t="s">
        <v>2575</v>
      </c>
      <c r="Q392" s="2" t="s">
        <v>59</v>
      </c>
      <c r="R392" s="2" t="s">
        <v>48</v>
      </c>
      <c r="S392" s="2" t="s">
        <v>31</v>
      </c>
      <c r="T392" s="2" t="s">
        <v>60</v>
      </c>
      <c r="U392" s="2">
        <v>0</v>
      </c>
      <c r="V392" s="10">
        <v>1920</v>
      </c>
      <c r="W392" s="10">
        <v>1885</v>
      </c>
      <c r="X392" s="11">
        <v>0</v>
      </c>
      <c r="Y392" s="11">
        <v>1</v>
      </c>
      <c r="Z392" s="2" t="s">
        <v>31</v>
      </c>
      <c r="AA392" s="2" t="s">
        <v>2576</v>
      </c>
      <c r="AB392" s="3">
        <v>43250</v>
      </c>
      <c r="AC392" s="2">
        <v>1240000</v>
      </c>
      <c r="AD392" s="2" t="s">
        <v>107</v>
      </c>
      <c r="AE392" s="2">
        <v>2.71</v>
      </c>
      <c r="AF392" s="4">
        <v>1270700</v>
      </c>
      <c r="AG392" s="8">
        <v>9377.0300000000007</v>
      </c>
      <c r="AH392" s="8">
        <f t="shared" si="24"/>
        <v>10081.244952999999</v>
      </c>
      <c r="AI392" s="8">
        <f t="shared" si="25"/>
        <v>704.21495299999879</v>
      </c>
      <c r="AJ392" s="8">
        <f t="shared" si="26"/>
        <v>9884.3273230000013</v>
      </c>
      <c r="AK392" s="8">
        <f t="shared" si="27"/>
        <v>507.29732300000069</v>
      </c>
    </row>
    <row r="393" spans="1:37" x14ac:dyDescent="0.3">
      <c r="A393" s="1">
        <v>411</v>
      </c>
      <c r="B393" s="2" t="s">
        <v>2577</v>
      </c>
      <c r="C393" s="2" t="s">
        <v>100</v>
      </c>
      <c r="D393" s="2" t="s">
        <v>1905</v>
      </c>
      <c r="E393" s="1">
        <v>1</v>
      </c>
      <c r="F393" s="2" t="s">
        <v>2578</v>
      </c>
      <c r="G393" s="2" t="s">
        <v>523</v>
      </c>
      <c r="H393" s="2" t="s">
        <v>31</v>
      </c>
      <c r="I393" s="2" t="s">
        <v>2482</v>
      </c>
      <c r="J393" s="2" t="s">
        <v>2579</v>
      </c>
      <c r="K393" s="10" t="s">
        <v>2840</v>
      </c>
      <c r="L393" s="2" t="s">
        <v>2580</v>
      </c>
      <c r="M393" s="2" t="s">
        <v>2581</v>
      </c>
      <c r="N393" s="2" t="s">
        <v>31</v>
      </c>
      <c r="O393" s="2" t="s">
        <v>31</v>
      </c>
      <c r="P393" s="2" t="s">
        <v>2582</v>
      </c>
      <c r="Q393" s="2" t="s">
        <v>59</v>
      </c>
      <c r="R393" s="2" t="s">
        <v>48</v>
      </c>
      <c r="S393" s="2" t="s">
        <v>31</v>
      </c>
      <c r="T393" s="2" t="s">
        <v>60</v>
      </c>
      <c r="U393" s="2">
        <v>0</v>
      </c>
      <c r="V393" s="10">
        <v>1920</v>
      </c>
      <c r="W393" s="10">
        <v>1886</v>
      </c>
      <c r="X393" s="11">
        <v>0</v>
      </c>
      <c r="Y393" s="11">
        <v>1</v>
      </c>
      <c r="Z393" s="2" t="s">
        <v>31</v>
      </c>
      <c r="AA393" s="2" t="s">
        <v>2583</v>
      </c>
      <c r="AB393" s="3">
        <v>40052</v>
      </c>
      <c r="AC393" s="2">
        <v>650000</v>
      </c>
      <c r="AD393" s="2" t="s">
        <v>107</v>
      </c>
      <c r="AE393" s="2">
        <v>2.71</v>
      </c>
      <c r="AF393" s="4">
        <v>1271200</v>
      </c>
      <c r="AG393" s="8">
        <v>9382.15</v>
      </c>
      <c r="AH393" s="8">
        <f t="shared" si="24"/>
        <v>10086.749464999999</v>
      </c>
      <c r="AI393" s="8">
        <f t="shared" si="25"/>
        <v>704.59946499999933</v>
      </c>
      <c r="AJ393" s="8">
        <f t="shared" si="26"/>
        <v>9889.7243149999995</v>
      </c>
      <c r="AK393" s="8">
        <f t="shared" si="27"/>
        <v>507.57431499999984</v>
      </c>
    </row>
    <row r="394" spans="1:37" x14ac:dyDescent="0.3">
      <c r="A394" s="1">
        <v>412</v>
      </c>
      <c r="B394" s="2" t="s">
        <v>2584</v>
      </c>
      <c r="C394" s="2" t="s">
        <v>100</v>
      </c>
      <c r="D394" s="2" t="s">
        <v>1905</v>
      </c>
      <c r="E394" s="1">
        <v>1</v>
      </c>
      <c r="F394" s="2" t="s">
        <v>2585</v>
      </c>
      <c r="G394" s="2" t="s">
        <v>523</v>
      </c>
      <c r="H394" s="2" t="s">
        <v>31</v>
      </c>
      <c r="I394" s="2" t="s">
        <v>2482</v>
      </c>
      <c r="J394" s="2" t="s">
        <v>2586</v>
      </c>
      <c r="K394" s="10" t="s">
        <v>2840</v>
      </c>
      <c r="L394" s="2" t="s">
        <v>2587</v>
      </c>
      <c r="M394" s="2" t="s">
        <v>2588</v>
      </c>
      <c r="N394" s="2" t="s">
        <v>31</v>
      </c>
      <c r="O394" s="2" t="s">
        <v>31</v>
      </c>
      <c r="P394" s="2" t="s">
        <v>2589</v>
      </c>
      <c r="Q394" s="2" t="s">
        <v>59</v>
      </c>
      <c r="R394" s="2" t="s">
        <v>48</v>
      </c>
      <c r="S394" s="2" t="s">
        <v>31</v>
      </c>
      <c r="T394" s="2" t="s">
        <v>60</v>
      </c>
      <c r="U394" s="2">
        <v>0</v>
      </c>
      <c r="V394" s="10">
        <v>1920</v>
      </c>
      <c r="W394" s="10">
        <v>1957</v>
      </c>
      <c r="X394" s="11">
        <v>0</v>
      </c>
      <c r="Y394" s="11">
        <v>1</v>
      </c>
      <c r="Z394" s="2" t="s">
        <v>31</v>
      </c>
      <c r="AA394" s="2" t="s">
        <v>2590</v>
      </c>
      <c r="AB394" s="3">
        <v>43321</v>
      </c>
      <c r="AC394" s="2">
        <v>1</v>
      </c>
      <c r="AD394" s="2" t="s">
        <v>107</v>
      </c>
      <c r="AE394" s="2">
        <v>2.82</v>
      </c>
      <c r="AF394" s="4">
        <v>1305600</v>
      </c>
      <c r="AG394" s="8">
        <v>9734.41</v>
      </c>
      <c r="AH394" s="8">
        <f t="shared" si="24"/>
        <v>10465.464190999999</v>
      </c>
      <c r="AI394" s="8">
        <f t="shared" si="25"/>
        <v>731.05419099999926</v>
      </c>
      <c r="AJ394" s="8">
        <f t="shared" si="26"/>
        <v>10261.041580999999</v>
      </c>
      <c r="AK394" s="8">
        <f t="shared" si="27"/>
        <v>526.63158099999964</v>
      </c>
    </row>
    <row r="395" spans="1:37" x14ac:dyDescent="0.3">
      <c r="A395" s="1">
        <v>413</v>
      </c>
      <c r="B395" s="2" t="s">
        <v>2591</v>
      </c>
      <c r="C395" s="2" t="s">
        <v>100</v>
      </c>
      <c r="D395" s="2" t="s">
        <v>1905</v>
      </c>
      <c r="E395" s="1">
        <v>1</v>
      </c>
      <c r="F395" s="2" t="s">
        <v>2592</v>
      </c>
      <c r="G395" s="2" t="s">
        <v>523</v>
      </c>
      <c r="H395" s="2" t="s">
        <v>31</v>
      </c>
      <c r="I395" s="2" t="s">
        <v>2482</v>
      </c>
      <c r="J395" s="2" t="s">
        <v>2593</v>
      </c>
      <c r="K395" s="10" t="s">
        <v>2840</v>
      </c>
      <c r="L395" s="2" t="s">
        <v>2594</v>
      </c>
      <c r="M395" s="2" t="s">
        <v>2595</v>
      </c>
      <c r="N395" s="2" t="s">
        <v>31</v>
      </c>
      <c r="O395" s="2" t="s">
        <v>31</v>
      </c>
      <c r="P395" s="2" t="s">
        <v>2596</v>
      </c>
      <c r="Q395" s="2" t="s">
        <v>59</v>
      </c>
      <c r="R395" s="2" t="s">
        <v>48</v>
      </c>
      <c r="S395" s="2" t="s">
        <v>31</v>
      </c>
      <c r="T395" s="2" t="s">
        <v>60</v>
      </c>
      <c r="U395" s="2">
        <v>0</v>
      </c>
      <c r="V395" s="10">
        <v>1920</v>
      </c>
      <c r="W395" s="10">
        <v>1957</v>
      </c>
      <c r="X395" s="11">
        <v>0</v>
      </c>
      <c r="Y395" s="11">
        <v>1</v>
      </c>
      <c r="Z395" s="2" t="s">
        <v>31</v>
      </c>
      <c r="AA395" s="2" t="s">
        <v>2597</v>
      </c>
      <c r="AB395" s="3">
        <v>45415</v>
      </c>
      <c r="AC395" s="2">
        <v>1850000</v>
      </c>
      <c r="AD395" s="2" t="s">
        <v>107</v>
      </c>
      <c r="AE395" s="2">
        <v>2.82</v>
      </c>
      <c r="AF395" s="4">
        <v>1832300</v>
      </c>
      <c r="AG395" s="8">
        <v>15127.82</v>
      </c>
      <c r="AH395" s="8">
        <f t="shared" si="24"/>
        <v>16263.919281999999</v>
      </c>
      <c r="AI395" s="8">
        <f t="shared" si="25"/>
        <v>1136.0992819999992</v>
      </c>
      <c r="AJ395" s="8">
        <f t="shared" si="26"/>
        <v>15946.235062</v>
      </c>
      <c r="AK395" s="8">
        <f t="shared" si="27"/>
        <v>818.41506200000003</v>
      </c>
    </row>
    <row r="396" spans="1:37" x14ac:dyDescent="0.3">
      <c r="A396" s="1">
        <v>414</v>
      </c>
      <c r="B396" s="2" t="s">
        <v>2598</v>
      </c>
      <c r="C396" s="2" t="s">
        <v>100</v>
      </c>
      <c r="D396" s="2" t="s">
        <v>1905</v>
      </c>
      <c r="E396" s="1">
        <v>1</v>
      </c>
      <c r="F396" s="2" t="s">
        <v>2599</v>
      </c>
      <c r="G396" s="2" t="s">
        <v>523</v>
      </c>
      <c r="H396" s="2" t="s">
        <v>31</v>
      </c>
      <c r="I396" s="2" t="s">
        <v>2482</v>
      </c>
      <c r="J396" s="2" t="s">
        <v>2600</v>
      </c>
      <c r="K396" s="10" t="s">
        <v>2840</v>
      </c>
      <c r="L396" s="2" t="s">
        <v>2601</v>
      </c>
      <c r="M396" s="2" t="s">
        <v>2602</v>
      </c>
      <c r="N396" s="2" t="s">
        <v>31</v>
      </c>
      <c r="O396" s="2" t="s">
        <v>31</v>
      </c>
      <c r="P396" s="2" t="s">
        <v>2603</v>
      </c>
      <c r="Q396" s="2" t="s">
        <v>59</v>
      </c>
      <c r="R396" s="2" t="s">
        <v>48</v>
      </c>
      <c r="S396" s="2" t="s">
        <v>31</v>
      </c>
      <c r="T396" s="2" t="s">
        <v>60</v>
      </c>
      <c r="U396" s="2">
        <v>0</v>
      </c>
      <c r="V396" s="10">
        <v>1920</v>
      </c>
      <c r="W396" s="10">
        <v>1814</v>
      </c>
      <c r="X396" s="11">
        <v>0</v>
      </c>
      <c r="Y396" s="11">
        <v>1</v>
      </c>
      <c r="Z396" s="2" t="s">
        <v>31</v>
      </c>
      <c r="AA396" s="2" t="s">
        <v>2604</v>
      </c>
      <c r="AB396" s="3">
        <v>34558</v>
      </c>
      <c r="AC396" s="2">
        <v>223500</v>
      </c>
      <c r="AD396" s="2" t="s">
        <v>107</v>
      </c>
      <c r="AE396" s="2">
        <v>2.61</v>
      </c>
      <c r="AF396" s="4">
        <v>1170700</v>
      </c>
      <c r="AG396" s="8">
        <v>8353.0300000000007</v>
      </c>
      <c r="AH396" s="8">
        <f t="shared" si="24"/>
        <v>8980.3425530000004</v>
      </c>
      <c r="AI396" s="8">
        <f t="shared" si="25"/>
        <v>627.31255299999975</v>
      </c>
      <c r="AJ396" s="8">
        <f t="shared" si="26"/>
        <v>8804.9289230000013</v>
      </c>
      <c r="AK396" s="8">
        <f t="shared" si="27"/>
        <v>451.89892300000065</v>
      </c>
    </row>
    <row r="397" spans="1:37" x14ac:dyDescent="0.3">
      <c r="A397" s="1">
        <v>415</v>
      </c>
      <c r="B397" s="2" t="s">
        <v>2605</v>
      </c>
      <c r="C397" s="2" t="s">
        <v>100</v>
      </c>
      <c r="D397" s="2" t="s">
        <v>1905</v>
      </c>
      <c r="E397" s="1">
        <v>1</v>
      </c>
      <c r="F397" s="2" t="s">
        <v>2606</v>
      </c>
      <c r="G397" s="2" t="s">
        <v>523</v>
      </c>
      <c r="H397" s="2" t="s">
        <v>31</v>
      </c>
      <c r="I397" s="2" t="s">
        <v>2482</v>
      </c>
      <c r="J397" s="2" t="s">
        <v>2607</v>
      </c>
      <c r="K397" s="10" t="s">
        <v>2840</v>
      </c>
      <c r="L397" s="2" t="s">
        <v>2608</v>
      </c>
      <c r="M397" s="2" t="s">
        <v>2609</v>
      </c>
      <c r="N397" s="2" t="s">
        <v>31</v>
      </c>
      <c r="O397" s="2" t="s">
        <v>31</v>
      </c>
      <c r="P397" s="2" t="s">
        <v>2610</v>
      </c>
      <c r="Q397" s="2" t="s">
        <v>59</v>
      </c>
      <c r="R397" s="2" t="s">
        <v>48</v>
      </c>
      <c r="S397" s="2" t="s">
        <v>31</v>
      </c>
      <c r="T397" s="2" t="s">
        <v>60</v>
      </c>
      <c r="U397" s="2">
        <v>0</v>
      </c>
      <c r="V397" s="10">
        <v>1920</v>
      </c>
      <c r="W397" s="10">
        <v>1885</v>
      </c>
      <c r="X397" s="11">
        <v>0</v>
      </c>
      <c r="Y397" s="11">
        <v>1</v>
      </c>
      <c r="Z397" s="2" t="s">
        <v>31</v>
      </c>
      <c r="AA397" s="2" t="s">
        <v>2611</v>
      </c>
      <c r="AB397" s="3">
        <v>43994</v>
      </c>
      <c r="AC397" s="2">
        <v>1325000</v>
      </c>
      <c r="AD397" s="2" t="s">
        <v>39</v>
      </c>
      <c r="AE397" s="2">
        <v>2.71</v>
      </c>
      <c r="AF397" s="4">
        <v>1259200</v>
      </c>
      <c r="AG397" s="8">
        <v>12894.21</v>
      </c>
      <c r="AH397" s="8">
        <f t="shared" si="24"/>
        <v>13862.565170999998</v>
      </c>
      <c r="AI397" s="8">
        <f t="shared" si="25"/>
        <v>968.35517099999925</v>
      </c>
      <c r="AJ397" s="8">
        <f t="shared" si="26"/>
        <v>13591.786760999999</v>
      </c>
      <c r="AK397" s="8">
        <f t="shared" si="27"/>
        <v>697.57676100000026</v>
      </c>
    </row>
    <row r="398" spans="1:37" x14ac:dyDescent="0.3">
      <c r="A398" s="1">
        <v>416</v>
      </c>
      <c r="B398" s="2" t="s">
        <v>2612</v>
      </c>
      <c r="C398" s="2" t="s">
        <v>100</v>
      </c>
      <c r="D398" s="2" t="s">
        <v>1905</v>
      </c>
      <c r="E398" s="1">
        <v>1</v>
      </c>
      <c r="F398" s="2" t="s">
        <v>2613</v>
      </c>
      <c r="G398" s="2" t="s">
        <v>523</v>
      </c>
      <c r="H398" s="2" t="s">
        <v>31</v>
      </c>
      <c r="I398" s="2" t="s">
        <v>2482</v>
      </c>
      <c r="J398" s="2" t="s">
        <v>2614</v>
      </c>
      <c r="K398" s="10" t="s">
        <v>2840</v>
      </c>
      <c r="L398" s="2" t="s">
        <v>2615</v>
      </c>
      <c r="M398" s="2" t="s">
        <v>2616</v>
      </c>
      <c r="N398" s="2" t="s">
        <v>31</v>
      </c>
      <c r="O398" s="2" t="s">
        <v>31</v>
      </c>
      <c r="P398" s="2" t="s">
        <v>2617</v>
      </c>
      <c r="Q398" s="2" t="s">
        <v>59</v>
      </c>
      <c r="R398" s="2" t="s">
        <v>48</v>
      </c>
      <c r="S398" s="2" t="s">
        <v>31</v>
      </c>
      <c r="T398" s="2" t="s">
        <v>60</v>
      </c>
      <c r="U398" s="2">
        <v>0</v>
      </c>
      <c r="V398" s="10">
        <v>1920</v>
      </c>
      <c r="W398" s="10">
        <v>1885</v>
      </c>
      <c r="X398" s="11">
        <v>0</v>
      </c>
      <c r="Y398" s="11">
        <v>1</v>
      </c>
      <c r="Z398" s="2" t="s">
        <v>31</v>
      </c>
      <c r="AA398" s="2" t="s">
        <v>2618</v>
      </c>
      <c r="AB398" s="3">
        <v>40744</v>
      </c>
      <c r="AC398" s="2">
        <v>706000</v>
      </c>
      <c r="AD398" s="2" t="s">
        <v>107</v>
      </c>
      <c r="AE398" s="2">
        <v>2.71</v>
      </c>
      <c r="AF398" s="4">
        <v>1261400</v>
      </c>
      <c r="AG398" s="8">
        <v>9281.7999999999993</v>
      </c>
      <c r="AH398" s="8">
        <f t="shared" si="24"/>
        <v>9978.8631799999985</v>
      </c>
      <c r="AI398" s="8">
        <f t="shared" si="25"/>
        <v>697.06317999999919</v>
      </c>
      <c r="AJ398" s="8">
        <f t="shared" si="26"/>
        <v>9783.9453799999992</v>
      </c>
      <c r="AK398" s="8">
        <f t="shared" si="27"/>
        <v>502.14537999999993</v>
      </c>
    </row>
    <row r="399" spans="1:37" x14ac:dyDescent="0.3">
      <c r="A399" s="1">
        <v>418</v>
      </c>
      <c r="B399" s="2" t="s">
        <v>2619</v>
      </c>
      <c r="C399" s="2" t="s">
        <v>100</v>
      </c>
      <c r="D399" s="2" t="s">
        <v>1905</v>
      </c>
      <c r="E399" s="1">
        <v>1</v>
      </c>
      <c r="F399" s="2" t="s">
        <v>2620</v>
      </c>
      <c r="G399" s="2" t="s">
        <v>407</v>
      </c>
      <c r="H399" s="2" t="s">
        <v>31</v>
      </c>
      <c r="I399" s="2" t="s">
        <v>1944</v>
      </c>
      <c r="J399" s="2" t="s">
        <v>2621</v>
      </c>
      <c r="K399" s="10" t="s">
        <v>2841</v>
      </c>
      <c r="L399" s="2" t="s">
        <v>2622</v>
      </c>
      <c r="M399" s="2" t="s">
        <v>2623</v>
      </c>
      <c r="N399" s="2" t="s">
        <v>2624</v>
      </c>
      <c r="O399" s="2" t="s">
        <v>2625</v>
      </c>
      <c r="P399" s="2" t="s">
        <v>2626</v>
      </c>
      <c r="Q399" s="2" t="s">
        <v>59</v>
      </c>
      <c r="R399" s="2" t="s">
        <v>48</v>
      </c>
      <c r="S399" s="2" t="s">
        <v>31</v>
      </c>
      <c r="T399" s="2" t="s">
        <v>60</v>
      </c>
      <c r="U399" s="2">
        <v>0</v>
      </c>
      <c r="V399" s="10">
        <v>1930</v>
      </c>
      <c r="W399" s="10">
        <v>1961</v>
      </c>
      <c r="X399" s="11">
        <v>0</v>
      </c>
      <c r="Y399" s="11">
        <v>1</v>
      </c>
      <c r="Z399" s="2" t="s">
        <v>31</v>
      </c>
      <c r="AA399" s="2" t="s">
        <v>2627</v>
      </c>
      <c r="AB399" s="3">
        <v>44117</v>
      </c>
      <c r="AC399" s="2">
        <v>1</v>
      </c>
      <c r="AD399" s="2" t="s">
        <v>39</v>
      </c>
      <c r="AE399" s="2">
        <v>16.2</v>
      </c>
      <c r="AF399" s="4">
        <v>1313900</v>
      </c>
      <c r="AG399" s="8">
        <v>13454.34</v>
      </c>
      <c r="AH399" s="8">
        <f t="shared" si="24"/>
        <v>14464.760934</v>
      </c>
      <c r="AI399" s="8">
        <f t="shared" si="25"/>
        <v>1010.4209339999998</v>
      </c>
      <c r="AJ399" s="8">
        <f t="shared" si="26"/>
        <v>14182.219794000001</v>
      </c>
      <c r="AK399" s="8">
        <f t="shared" si="27"/>
        <v>727.8797940000004</v>
      </c>
    </row>
    <row r="400" spans="1:37" x14ac:dyDescent="0.3">
      <c r="A400" s="1">
        <v>419</v>
      </c>
      <c r="B400" s="2" t="s">
        <v>2628</v>
      </c>
      <c r="C400" s="2" t="s">
        <v>100</v>
      </c>
      <c r="D400" s="2" t="s">
        <v>1905</v>
      </c>
      <c r="E400" s="1">
        <v>1</v>
      </c>
      <c r="F400" s="2" t="s">
        <v>2629</v>
      </c>
      <c r="G400" s="2" t="s">
        <v>407</v>
      </c>
      <c r="H400" s="2" t="s">
        <v>31</v>
      </c>
      <c r="I400" s="2" t="s">
        <v>1944</v>
      </c>
      <c r="J400" s="2" t="s">
        <v>2630</v>
      </c>
      <c r="K400" s="10" t="s">
        <v>2841</v>
      </c>
      <c r="L400" s="2" t="s">
        <v>2631</v>
      </c>
      <c r="M400" s="2" t="s">
        <v>2632</v>
      </c>
      <c r="N400" s="2" t="s">
        <v>2633</v>
      </c>
      <c r="O400" s="2" t="s">
        <v>2634</v>
      </c>
      <c r="P400" s="2" t="s">
        <v>2635</v>
      </c>
      <c r="Q400" s="2" t="s">
        <v>59</v>
      </c>
      <c r="R400" s="2" t="s">
        <v>48</v>
      </c>
      <c r="S400" s="2" t="s">
        <v>31</v>
      </c>
      <c r="T400" s="2" t="s">
        <v>60</v>
      </c>
      <c r="U400" s="2">
        <v>0</v>
      </c>
      <c r="V400" s="10">
        <v>1930</v>
      </c>
      <c r="W400" s="10">
        <v>1785</v>
      </c>
      <c r="X400" s="11">
        <v>0</v>
      </c>
      <c r="Y400" s="11">
        <v>1</v>
      </c>
      <c r="Z400" s="2" t="s">
        <v>31</v>
      </c>
      <c r="AA400" s="2" t="s">
        <v>2636</v>
      </c>
      <c r="AB400" s="3">
        <v>43102</v>
      </c>
      <c r="AC400" s="2">
        <v>1060000</v>
      </c>
      <c r="AD400" s="2" t="s">
        <v>107</v>
      </c>
      <c r="AE400" s="2">
        <v>13.7</v>
      </c>
      <c r="AF400" s="4">
        <v>1425100</v>
      </c>
      <c r="AG400" s="8">
        <v>10958.09</v>
      </c>
      <c r="AH400" s="8">
        <f t="shared" si="24"/>
        <v>11781.042559</v>
      </c>
      <c r="AI400" s="8">
        <f t="shared" si="25"/>
        <v>822.95255899999938</v>
      </c>
      <c r="AJ400" s="8">
        <f t="shared" si="26"/>
        <v>11550.922669000001</v>
      </c>
      <c r="AK400" s="8">
        <f t="shared" si="27"/>
        <v>592.83266900000126</v>
      </c>
    </row>
    <row r="401" spans="1:37" x14ac:dyDescent="0.3">
      <c r="A401" s="1">
        <v>420</v>
      </c>
      <c r="B401" s="2" t="s">
        <v>2637</v>
      </c>
      <c r="C401" s="2" t="s">
        <v>100</v>
      </c>
      <c r="D401" s="2" t="s">
        <v>1905</v>
      </c>
      <c r="E401" s="1">
        <v>1</v>
      </c>
      <c r="F401" s="2" t="s">
        <v>2638</v>
      </c>
      <c r="G401" s="2" t="s">
        <v>407</v>
      </c>
      <c r="H401" s="2" t="s">
        <v>31</v>
      </c>
      <c r="I401" s="2" t="s">
        <v>1944</v>
      </c>
      <c r="J401" s="2" t="s">
        <v>2639</v>
      </c>
      <c r="K401" s="10" t="s">
        <v>2841</v>
      </c>
      <c r="L401" s="2" t="s">
        <v>2640</v>
      </c>
      <c r="M401" s="2" t="s">
        <v>2641</v>
      </c>
      <c r="N401" s="2" t="s">
        <v>31</v>
      </c>
      <c r="O401" s="2" t="s">
        <v>31</v>
      </c>
      <c r="P401" s="2" t="s">
        <v>2642</v>
      </c>
      <c r="Q401" s="2" t="s">
        <v>59</v>
      </c>
      <c r="R401" s="2" t="s">
        <v>48</v>
      </c>
      <c r="S401" s="2" t="s">
        <v>31</v>
      </c>
      <c r="T401" s="2" t="s">
        <v>60</v>
      </c>
      <c r="U401" s="2">
        <v>0</v>
      </c>
      <c r="V401" s="10">
        <v>1930</v>
      </c>
      <c r="W401" s="10">
        <v>2023</v>
      </c>
      <c r="X401" s="11">
        <v>0</v>
      </c>
      <c r="Y401" s="11">
        <v>1</v>
      </c>
      <c r="Z401" s="2" t="s">
        <v>31</v>
      </c>
      <c r="AA401" s="2" t="s">
        <v>2643</v>
      </c>
      <c r="AB401" s="3">
        <v>31294</v>
      </c>
      <c r="AC401" s="2">
        <v>250000</v>
      </c>
      <c r="AD401" s="2" t="s">
        <v>39</v>
      </c>
      <c r="AE401" s="2">
        <v>16.7</v>
      </c>
      <c r="AF401" s="4">
        <v>1525500</v>
      </c>
      <c r="AG401" s="8">
        <v>15621.12</v>
      </c>
      <c r="AH401" s="8">
        <f t="shared" si="24"/>
        <v>16794.266112000001</v>
      </c>
      <c r="AI401" s="8">
        <f t="shared" si="25"/>
        <v>1173.1461120000004</v>
      </c>
      <c r="AJ401" s="8">
        <f t="shared" si="26"/>
        <v>16466.222592000002</v>
      </c>
      <c r="AK401" s="8">
        <f t="shared" si="27"/>
        <v>845.1025920000011</v>
      </c>
    </row>
  </sheetData>
  <autoFilter ref="A1:AG401" xr:uid="{00000000-0009-0000-0000-000000000000}">
    <sortState ref="A2:AG401">
      <sortCondition ref="B1:B401"/>
    </sortState>
  </autoFilter>
  <pageMargins left="0.7" right="0.7" top="0.75" bottom="0.75" header="0.3" footer="0.3"/>
  <pageSetup fitToWidth="0" fitToHeight="0" orientation="portrait" r:id="rId1"/>
  <ignoredErrors>
    <ignoredError sqref="AA1:AF1 L1:U1 A1 B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 Belhocine</dc:creator>
  <cp:lastModifiedBy>James Pouliot</cp:lastModifiedBy>
  <dcterms:created xsi:type="dcterms:W3CDTF">2025-12-08T19:40:05Z</dcterms:created>
  <dcterms:modified xsi:type="dcterms:W3CDTF">2026-03-03T17:47:24Z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22.2.5.0</vt:lpwstr>
  </property>
</Properties>
</file>